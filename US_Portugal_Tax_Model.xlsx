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Summary" sheetId="3" state="visible" r:id="rId5"/>
    <sheet name="US_Calc" sheetId="4" state="visible" r:id="rId6"/>
    <sheet name="PT_Calc" sheetId="5" state="visible" r:id="rId7"/>
    <sheet name="Params" sheetId="6" state="visible" r:id="rId8"/>
    <sheet name="US_Regimes" sheetId="7" state="visible" r:id="rId9"/>
    <sheet name="PT_Regimes" sheetId="8" state="visible" r:id="rId10"/>
    <sheet name="Treaty_FTC" sheetId="9" state="visible" r:id="rId11"/>
    <sheet name="Calendar" sheetId="10" state="visible" r:id="rId12"/>
    <sheet name="Checklis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<sst xmlns="http://schemas.openxmlformats.org/spreadsheetml/2006/main" count="634" uniqueCount="539">
  <si>
    <t xml:space="preserve">US + Portugal Tax Planning Workbook (Tax Year 2026)</t>
  </si>
  <si>
    <t xml:space="preserve">Calculator + reference for a US citizen / green-card holder living in (or moving to) Portugal. Not tax advice — see disclaimer.</t>
  </si>
  <si>
    <t xml:space="preserve">HOW TO USE</t>
  </si>
  <si>
    <t xml:space="preserve">1</t>
  </si>
  <si>
    <t xml:space="preserve">Go to 'Inputs' and edit the yellow cells (blue text). Example values are pre-filled — overwrite them.</t>
  </si>
  <si>
    <t xml:space="preserve">2</t>
  </si>
  <si>
    <t xml:space="preserve">'Summary' shows all four combinations: US method (FEIE vs Foreign Tax Credit) × PT regime (standard IRS vs IFICI/NHR 2.0) and flags the cheapest.</t>
  </si>
  <si>
    <t xml:space="preserve">3</t>
  </si>
  <si>
    <t xml:space="preserve">'US_Calc' and 'PT_Calc' show every step so you can audit the math. 'Params' holds every rate, bracket and threshold (edit there if law changes).</t>
  </si>
  <si>
    <t xml:space="preserve">4</t>
  </si>
  <si>
    <t xml:space="preserve">Reference tabs: US_Regimes, PT_Regimes, Treaty_FTC (US–Portugal treaty &amp; double-tax relief), Calendar, Checklist.</t>
  </si>
  <si>
    <t xml:space="preserve">COLOUR CODE</t>
  </si>
  <si>
    <t xml:space="preserve">Blue text / yellow fill</t>
  </si>
  <si>
    <t xml:space="preserve">Input you can change.</t>
  </si>
  <si>
    <t xml:space="preserve">Black text</t>
  </si>
  <si>
    <t xml:space="preserve">Formula.</t>
  </si>
  <si>
    <t xml:space="preserve">Green text</t>
  </si>
  <si>
    <t xml:space="preserve">Link pulled from another sheet.</t>
  </si>
  <si>
    <t xml:space="preserve">WHAT THE CALCULATOR MODELS</t>
  </si>
  <si>
    <t xml:space="preserve">US</t>
  </si>
  <si>
    <t xml:space="preserve">Federal only (no state tax): brackets, standard/itemized deduction, FEIE (with stacking rule), FTC limitation, LTCG 0/15/20%, NIIT, FICA / SE tax / Additional Medicare.</t>
  </si>
  <si>
    <t xml:space="preserve">Portugal</t>
  </si>
  <si>
    <t xml:space="preserve">Standard progressive IRS (cat. A employment, cat. B simplified-regime freelance, 28% autonomous capital income), solidarity surcharge, €600 personal deduction, joint-return splitting, IFICI 20% flat regime, employee/self-employed Social Security.</t>
  </si>
  <si>
    <t xml:space="preserve">Interaction</t>
  </si>
  <si>
    <t xml:space="preserve">Social security assigned to ONE country (US–PT totalization agreement). PT credit for US tax on US-source income; US FTC for PT tax on PT-source income; FEIE-excluded income gets no FTC.</t>
  </si>
  <si>
    <t xml:space="preserve">KEY SIMPLIFICATIONS (read these)</t>
  </si>
  <si>
    <t xml:space="preserve">Inputs are in EUR and converted to USD with your FX rate. One earner; 'Married' = US MFJ and PT joint (quotient conjugal) with a single-earner household.</t>
  </si>
  <si>
    <t xml:space="preserve">No dependants, credits (CTC, EITC), QBI deduction, PT expense deductions beyond the single 'other deductions' input, state taxes, real-estate, rental or pension income.</t>
  </si>
  <si>
    <t xml:space="preserve">PT cat. B uses the simplified regime (75% coefficient) — does not model organised accounting, first-year reductions or the minimum-expense rule.</t>
  </si>
  <si>
    <t xml:space="preserve">FTC limitation uses a single basket and gross-income source ratio; treaty re-sourcing, carryovers, and NIIT credits are NOT modelled.</t>
  </si>
  <si>
    <t xml:space="preserve">5</t>
  </si>
  <si>
    <t xml:space="preserve">IFICI: assumes you qualify (activity list + 5 years of non-residency) and that foreign-source income is exempt; PT-source work income taxed at flat 20%. Confirm with a Portuguese contabilista.</t>
  </si>
  <si>
    <t xml:space="preserve">6</t>
  </si>
  <si>
    <t xml:space="preserve">2026 figures: US from IRS inflation adjustments (Rev. Proc. 2025-32) and OBBBA; PT from the 2026 State Budget. Both were entered from memory of published tables — VERIFY against IRS.gov / Portal das Finanças before relying on numbers. Every figure is editable on 'Params'.</t>
  </si>
  <si>
    <t xml:space="preserve">DISCLAIMER</t>
  </si>
  <si>
    <t xml:space="preserve">Educational planning tool, not legal or tax advice. Cross-border tax is fact-specific (citizenship, residency days, treaty position, entity use, PFIC, trusts). Have a US CPA/EA and a Portuguese certified accountant review before filing.</t>
  </si>
  <si>
    <t xml:space="preserve">Inputs</t>
  </si>
  <si>
    <t xml:space="preserve">Edit yellow cells only. Example values are pre-filled (a single US citizen, salaried in Portugal) — overwrite them.</t>
  </si>
  <si>
    <t xml:space="preserve">Profile</t>
  </si>
  <si>
    <t xml:space="preserve">Tax year</t>
  </si>
  <si>
    <t xml:space="preserve">Fixed — parameters are for 2026</t>
  </si>
  <si>
    <t xml:space="preserve">Marital status</t>
  </si>
  <si>
    <t xml:space="preserve">Single</t>
  </si>
  <si>
    <t xml:space="preserve">Single = US Single / PT single. Married = US MFJ / PT joint, one earner</t>
  </si>
  <si>
    <t xml:space="preserve">US taxpayer (citizen / green card)?</t>
  </si>
  <si>
    <t xml:space="preserve">Yes</t>
  </si>
  <si>
    <t xml:space="preserve">No = US columns forced to zero (PT-only view)</t>
  </si>
  <si>
    <t xml:space="preserve">FX rate: USD per 1 EUR</t>
  </si>
  <si>
    <t xml:space="preserve">ASSUMPTION — update to your rate (IRS yearly average rate for filing)</t>
  </si>
  <si>
    <t xml:space="preserve">Social-security country for work income</t>
  </si>
  <si>
    <t xml:space="preserve">US–PT totalization: pay into ONE system (certificate of coverage)</t>
  </si>
  <si>
    <t xml:space="preserve">Eligible for IFICI (NHR 2.0)?</t>
  </si>
  <si>
    <t xml:space="preserve">No</t>
  </si>
  <si>
    <t xml:space="preserve">Yes only if you meet the activity list + 5-yr non-residency tests</t>
  </si>
  <si>
    <t xml:space="preserve">Annual income (EUR)</t>
  </si>
  <si>
    <t xml:space="preserve">Employment salary (gross)</t>
  </si>
  <si>
    <t xml:space="preserve">Example value</t>
  </si>
  <si>
    <t xml:space="preserve">Self-employment gross revenue</t>
  </si>
  <si>
    <t xml:space="preserve">Freelance / sole proprietor</t>
  </si>
  <si>
    <t xml:space="preserve">Business expenses (actual, for US net profit)</t>
  </si>
  <si>
    <t xml:space="preserve">PT simplified regime ignores this (uses coefficient)</t>
  </si>
  <si>
    <t xml:space="preserve">Interest &amp; ordinary dividends</t>
  </si>
  <si>
    <t xml:space="preserve">Long-term gains &amp; qualified dividends</t>
  </si>
  <si>
    <t xml:space="preserve">Securities held &gt;1 year</t>
  </si>
  <si>
    <t xml:space="preserve">% of work income earned/sourced in Portugal</t>
  </si>
  <si>
    <t xml:space="preserve">Remainder treated as US-source</t>
  </si>
  <si>
    <t xml:space="preserve">% of capital income sourced in Portugal</t>
  </si>
  <si>
    <t xml:space="preserve">US itemized deductions (EUR, optional)</t>
  </si>
  <si>
    <t xml:space="preserve">Used only if larger than standard deduction</t>
  </si>
  <si>
    <t xml:space="preserve">Other PT deductions to tax (EUR)</t>
  </si>
  <si>
    <t xml:space="preserve">Health 15%, education 30%, general expenses 35% etc. — enter the credit amount</t>
  </si>
  <si>
    <t xml:space="preserve">Legend: blue text on yellow = input · everything else in the workbook is formula-driven.</t>
  </si>
  <si>
    <t xml:space="preserve">Summary — total tax burden by strategy (EUR, 2026)</t>
  </si>
  <si>
    <t xml:space="preserve">Combines US_Calc and PT_Calc with cross-border credits. Green row = lowest total. IFICI rows show n/a unless eligible (Inputs!C10).</t>
  </si>
  <si>
    <t xml:space="preserve">Shared factors</t>
  </si>
  <si>
    <t xml:space="preserve">Worldwide gross income (EUR)</t>
  </si>
  <si>
    <t xml:space="preserve">PT-sourced income (EUR)</t>
  </si>
  <si>
    <t xml:space="preserve">PT-source share</t>
  </si>
  <si>
    <t xml:space="preserve">US-source share</t>
  </si>
  <si>
    <t xml:space="preserve">US taxpayer flag</t>
  </si>
  <si>
    <t xml:space="preserve">US method</t>
  </si>
  <si>
    <t xml:space="preserve">PT regime</t>
  </si>
  <si>
    <t xml:space="preserve">US regular tax (pre-FTC)</t>
  </si>
  <si>
    <t xml:space="preserve">US NIIT</t>
  </si>
  <si>
    <t xml:space="preserve">US FTC for PT tax</t>
  </si>
  <si>
    <t xml:space="preserve">US income tax (net)</t>
  </si>
  <si>
    <t xml:space="preserve">PT income tax (pre-credit)</t>
  </si>
  <si>
    <t xml:space="preserve">PT credit for US tax</t>
  </si>
  <si>
    <t xml:space="preserve">PT income tax (net)</t>
  </si>
  <si>
    <t xml:space="preserve">Social security (US+PT)</t>
  </si>
  <si>
    <t xml:space="preserve">TOTAL tax</t>
  </si>
  <si>
    <t xml:space="preserve">% of gross income</t>
  </si>
  <si>
    <t xml:space="preserve">Best?</t>
  </si>
  <si>
    <t xml:space="preserve">FEIE</t>
  </si>
  <si>
    <t xml:space="preserve">Standard</t>
  </si>
  <si>
    <t xml:space="preserve">IFICI</t>
  </si>
  <si>
    <t xml:space="preserve">FTC only</t>
  </si>
  <si>
    <t xml:space="preserve">Headline</t>
  </si>
  <si>
    <t xml:space="preserve">Lowest-tax strategy</t>
  </si>
  <si>
    <t xml:space="preserve">Total tax, best strategy (EUR)</t>
  </si>
  <si>
    <t xml:space="preserve">Total tax, worst strategy (EUR)</t>
  </si>
  <si>
    <t xml:space="preserve">Saving from choosing best (EUR)</t>
  </si>
  <si>
    <t xml:space="preserve">Effective rate, best strategy</t>
  </si>
  <si>
    <t xml:space="preserve">Reading the table</t>
  </si>
  <si>
    <t xml:space="preserve">• US regular tax = bracket tax + LTCG tax. FTC offsets it for PT tax on PT-source income (never on excluded FEIE income, never against NIIT or SE tax).</t>
  </si>
  <si>
    <t xml:space="preserve">• PT credit = lesser of US tax on US-source income and PT tax attributable to that income (none under IFICI, where foreign income is exempt).</t>
  </si>
  <si>
    <t xml:space="preserve">• Social security: only one country's system applies (Inputs!C9). Employer-side contributions are not included.</t>
  </si>
  <si>
    <t xml:space="preserve">• FEIE vs FTC: with PT rates above US rates, FTC usually wins and builds carryovers; FEIE tends to win only when PT tax is low (e.g. IFICI at 20% on high earnings).</t>
  </si>
  <si>
    <t xml:space="preserve">• Compare FEIE columns carefully: electing FEIE has long-term lock-in (5-year revocation rule) and can limit credits such as the CTC/IRA contributions.</t>
  </si>
  <si>
    <t xml:space="preserve">US federal calculation (USD) — FEIE vs Foreign Tax Credit only</t>
  </si>
  <si>
    <t xml:space="preserve">Column B = elect FEIE (Form 2555). Column C = no FEIE, rely on FTC (Form 1116). Excludes state tax.</t>
  </si>
  <si>
    <t xml:space="preserve">Line</t>
  </si>
  <si>
    <t xml:space="preserve">FEIE elected</t>
  </si>
  <si>
    <t xml:space="preserve">Note</t>
  </si>
  <si>
    <t xml:space="preserve">FEIE elected (1 = yes)</t>
  </si>
  <si>
    <t xml:space="preserve">Hardcoded switch per column</t>
  </si>
  <si>
    <t xml:space="preserve">Wages</t>
  </si>
  <si>
    <t xml:space="preserve">EUR × FX</t>
  </si>
  <si>
    <t xml:space="preserve">Self-employment net profit</t>
  </si>
  <si>
    <t xml:space="preserve">Revenue − expenses</t>
  </si>
  <si>
    <t xml:space="preserve">LT gains &amp; qualified dividends</t>
  </si>
  <si>
    <t xml:space="preserve">Subject to US social security? (1/0)</t>
  </si>
  <si>
    <t xml:space="preserve">Per totalization choice</t>
  </si>
  <si>
    <t xml:space="preserve">SE earnings base (92.35%)</t>
  </si>
  <si>
    <t xml:space="preserve">Employee FICA</t>
  </si>
  <si>
    <t xml:space="preserve">6.2% to wage base + 1.45%</t>
  </si>
  <si>
    <t xml:space="preserve">Self-employment tax</t>
  </si>
  <si>
    <t xml:space="preserve">12.4% to wage base + 2.9%</t>
  </si>
  <si>
    <t xml:space="preserve">Additional Medicare tax</t>
  </si>
  <si>
    <t xml:space="preserve">0.9% over threshold</t>
  </si>
  <si>
    <t xml:space="preserve">Deduction: ½ SE tax</t>
  </si>
  <si>
    <t xml:space="preserve">Foreign (PT-sourced) earned income</t>
  </si>
  <si>
    <t xml:space="preserve">Needs bona fide residence / 330-day test</t>
  </si>
  <si>
    <t xml:space="preserve">FEIE exclusion</t>
  </si>
  <si>
    <t xml:space="preserve">Capped at limit</t>
  </si>
  <si>
    <t xml:space="preserve">Ordinary income (before exclusion)</t>
  </si>
  <si>
    <t xml:space="preserve">Ordinary income after ½SE and FEIE</t>
  </si>
  <si>
    <t xml:space="preserve">Deduction (greater of standard / itemized)</t>
  </si>
  <si>
    <t xml:space="preserve">Simplification: not reduced for FEIE-allocable items</t>
  </si>
  <si>
    <t xml:space="preserve">Taxable ordinary income</t>
  </si>
  <si>
    <t xml:space="preserve">Total taxable income</t>
  </si>
  <si>
    <t xml:space="preserve">Taxable LTCG / qualified dividends</t>
  </si>
  <si>
    <t xml:space="preserve">Tax on ordinary income (FEIE stacking rule)</t>
  </si>
  <si>
    <t xml:space="preserve">Tax(TI+excl) − Tax(excl): excluded income pushes rates up</t>
  </si>
  <si>
    <t xml:space="preserve">LTCG taxed at 0%</t>
  </si>
  <si>
    <t xml:space="preserve">LTCG taxed at 15%</t>
  </si>
  <si>
    <t xml:space="preserve">LTCG taxed at 20%</t>
  </si>
  <si>
    <t xml:space="preserve">Tax on LTCG</t>
  </si>
  <si>
    <t xml:space="preserve">Regular income tax (pre-credit)</t>
  </si>
  <si>
    <t xml:space="preserve">Net Investment Income Tax</t>
  </si>
  <si>
    <t xml:space="preserve">3.8%; not creditable by FTC</t>
  </si>
  <si>
    <t xml:space="preserve">US social taxes (FICA + SE + Addl Medicare)</t>
  </si>
  <si>
    <t xml:space="preserve">Foreign-source income for FTC limit</t>
  </si>
  <si>
    <t xml:space="preserve">Net of excluded income</t>
  </si>
  <si>
    <t xml:space="preserve">Worldwide income for FTC limit</t>
  </si>
  <si>
    <t xml:space="preserve">FTC limitation</t>
  </si>
  <si>
    <t xml:space="preserve">Regular tax × foreign / worldwide</t>
  </si>
  <si>
    <t xml:space="preserve">Share of PT-source earned income excluded</t>
  </si>
  <si>
    <t xml:space="preserve">PT tax on excluded income is not creditable</t>
  </si>
  <si>
    <t xml:space="preserve">US total before FTC (income tax + NIIT + social)</t>
  </si>
  <si>
    <t xml:space="preserve">FTC applied on Summary</t>
  </si>
  <si>
    <t xml:space="preserve">Portugal IRS calculation (EUR) — Standard vs IFICI</t>
  </si>
  <si>
    <t xml:space="preserve">Column B = standard progressive IRS (all income aggregated, capital at 28%). Column C = IFICI (20% flat on PT-source work income; foreign-source exempt).</t>
  </si>
  <si>
    <t xml:space="preserve">Standard IRS</t>
  </si>
  <si>
    <t xml:space="preserve">IFICI (20%)</t>
  </si>
  <si>
    <t xml:space="preserve">Subject to PT social security? (1/0)</t>
  </si>
  <si>
    <t xml:space="preserve">Employment income (cat. A)</t>
  </si>
  <si>
    <t xml:space="preserve">Employee Social Security (11%)</t>
  </si>
  <si>
    <t xml:space="preserve">Specific deduction (greater of €4,350 / SS)</t>
  </si>
  <si>
    <t xml:space="preserve">Cat. A</t>
  </si>
  <si>
    <t xml:space="preserve">Net cat. A income</t>
  </si>
  <si>
    <t xml:space="preserve">Self-employment revenue (cat. B)</t>
  </si>
  <si>
    <t xml:space="preserve">Taxable cat. B (simplified coefficient)</t>
  </si>
  <si>
    <t xml:space="preserve">75% × revenue</t>
  </si>
  <si>
    <t xml:space="preserve">Self-employed Social Security</t>
  </si>
  <si>
    <t xml:space="preserve">21.4% × 70% × revenue (first-year exemption not modelled)</t>
  </si>
  <si>
    <t xml:space="preserve">Work income base in regime</t>
  </si>
  <si>
    <t xml:space="preserve">Standard: all work income. IFICI: PT-source share only</t>
  </si>
  <si>
    <t xml:space="preserve">IRS on work income</t>
  </si>
  <si>
    <t xml:space="preserve">Standard: progressive (joint splits ÷2). IFICI: 20% flat</t>
  </si>
  <si>
    <t xml:space="preserve">Solidarity surcharge</t>
  </si>
  <si>
    <t xml:space="preserve">2.5% &gt; €80k, 5% &gt; €250k</t>
  </si>
  <si>
    <t xml:space="preserve">Personal &amp; other deductions to tax</t>
  </si>
  <si>
    <t xml:space="preserve">€600/taxpayer + Inputs; capped at IRS</t>
  </si>
  <si>
    <t xml:space="preserve">Capital income &amp; gains base</t>
  </si>
  <si>
    <t xml:space="preserve">IFICI: only PT-source taxed</t>
  </si>
  <si>
    <t xml:space="preserve">Autonomous tax on capital (28%)</t>
  </si>
  <si>
    <t xml:space="preserve">Aggregation option not modelled</t>
  </si>
  <si>
    <t xml:space="preserve">PT income tax before foreign-tax credit</t>
  </si>
  <si>
    <t xml:space="preserve">PT social security total</t>
  </si>
  <si>
    <t xml:space="preserve">Separate from income tax</t>
  </si>
  <si>
    <t xml:space="preserve">Parameters — 2026 (all editable; blue = hardcoded input)</t>
  </si>
  <si>
    <t xml:space="preserve">US figures: IRS Rev. Proc. 2025-32 / OBBBA (P.L. 119-21). Portugal: Orçamento do Estado 2026 / CIRS. Verify before use.</t>
  </si>
  <si>
    <t xml:space="preserve">UNITED STATES — thresholds (USD)</t>
  </si>
  <si>
    <t xml:space="preserve">Item</t>
  </si>
  <si>
    <t xml:space="preserve">Married filing jointly</t>
  </si>
  <si>
    <t xml:space="preserve">Selected</t>
  </si>
  <si>
    <t xml:space="preserve">Standard deduction</t>
  </si>
  <si>
    <t xml:space="preserve">Rev. Proc. 2025-32</t>
  </si>
  <si>
    <t xml:space="preserve">Social Security wage base</t>
  </si>
  <si>
    <t xml:space="preserve">SSA 2026</t>
  </si>
  <si>
    <t xml:space="preserve">FEIE limit (per qualifying person)</t>
  </si>
  <si>
    <t xml:space="preserve">Form 2555; one earner assumed</t>
  </si>
  <si>
    <t xml:space="preserve">LTCG 0% ceiling (taxable income)</t>
  </si>
  <si>
    <t xml:space="preserve">LTCG 15% ceiling (taxable income)</t>
  </si>
  <si>
    <t xml:space="preserve">Addl Medicare / NIIT threshold</t>
  </si>
  <si>
    <t xml:space="preserve">Statutory, not indexed</t>
  </si>
  <si>
    <t xml:space="preserve">UNITED STATES — rates</t>
  </si>
  <si>
    <t xml:space="preserve">OASDI employee rate</t>
  </si>
  <si>
    <t xml:space="preserve">Medicare employee rate</t>
  </si>
  <si>
    <t xml:space="preserve">OASDI self-employed rate</t>
  </si>
  <si>
    <t xml:space="preserve">Medicare self-employed rate</t>
  </si>
  <si>
    <t xml:space="preserve">SE earnings factor</t>
  </si>
  <si>
    <t xml:space="preserve">LTCG middle rate</t>
  </si>
  <si>
    <t xml:space="preserve">LTCG top rate</t>
  </si>
  <si>
    <t xml:space="preserve">UNITED STATES — ordinary income brackets 2026 (lower bound, rate, rate step)</t>
  </si>
  <si>
    <t xml:space="preserve">Single: from</t>
  </si>
  <si>
    <t xml:space="preserve">Rate</t>
  </si>
  <si>
    <t xml:space="preserve">Step</t>
  </si>
  <si>
    <t xml:space="preserve">MFJ: from</t>
  </si>
  <si>
    <t xml:space="preserve">PORTUGAL — parameters (EUR)</t>
  </si>
  <si>
    <t xml:space="preserve">Specific deduction, cat. A (min.)</t>
  </si>
  <si>
    <t xml:space="preserve">CIRS art. 25</t>
  </si>
  <si>
    <t xml:space="preserve">Employee Social Security rate</t>
  </si>
  <si>
    <t xml:space="preserve">Segurança Social</t>
  </si>
  <si>
    <t xml:space="preserve">Self-employed SS rate</t>
  </si>
  <si>
    <t xml:space="preserve">Código Contributivo</t>
  </si>
  <si>
    <t xml:space="preserve">SS relevant-income share (services)</t>
  </si>
  <si>
    <t xml:space="preserve">70% of quarterly revenue</t>
  </si>
  <si>
    <t xml:space="preserve">Simplified-regime coefficient (services)</t>
  </si>
  <si>
    <t xml:space="preserve">CIRS art. 31; 0.35 for some activities</t>
  </si>
  <si>
    <t xml:space="preserve">Personal deduction per taxpayer (dedução à coleta)</t>
  </si>
  <si>
    <t xml:space="preserve">CIRS art. 78-A</t>
  </si>
  <si>
    <t xml:space="preserve">Autonomous rate: interest, dividends, securities gains</t>
  </si>
  <si>
    <t xml:space="preserve">CIRS art. 72</t>
  </si>
  <si>
    <t xml:space="preserve">IFICI flat rate</t>
  </si>
  <si>
    <t xml:space="preserve">EBF art. 58-A</t>
  </si>
  <si>
    <t xml:space="preserve">Solidarity surcharge threshold 1</t>
  </si>
  <si>
    <t xml:space="preserve">CIRS art. 68-A</t>
  </si>
  <si>
    <t xml:space="preserve">Solidarity rate 1</t>
  </si>
  <si>
    <t xml:space="preserve">Solidarity surcharge threshold 2</t>
  </si>
  <si>
    <t xml:space="preserve">Solidarity rate 2</t>
  </si>
  <si>
    <t xml:space="preserve">PORTUGAL — IRS brackets 2026, mainland (taxable income lower bound, rate, step) — VERIFY vs OE 2026</t>
  </si>
  <si>
    <t xml:space="preserve">From (EUR)</t>
  </si>
  <si>
    <t xml:space="preserve">United States — regimes, laws &amp; traps for expats</t>
  </si>
  <si>
    <t xml:space="preserve">Planning reference. Verify current-year figures at IRS.gov.</t>
  </si>
  <si>
    <t xml:space="preserve">Topic</t>
  </si>
  <si>
    <t xml:space="preserve">Rule</t>
  </si>
  <si>
    <t xml:space="preserve">Planning notes</t>
  </si>
  <si>
    <t xml:space="preserve">Form / source</t>
  </si>
  <si>
    <t xml:space="preserve">Worldwide taxation</t>
  </si>
  <si>
    <t xml:space="preserve">US citizens &amp; green-card holders are taxed on worldwide income wherever they live, and must file even if tax owed is zero.</t>
  </si>
  <si>
    <t xml:space="preserve">Citizenship-based taxation; treaty 'saving clause' keeps US right to tax own citizens.</t>
  </si>
  <si>
    <t xml:space="preserve">Form 1040</t>
  </si>
  <si>
    <t xml:space="preserve">Filing status / brackets</t>
  </si>
  <si>
    <t xml:space="preserve">Single, MFJ, MFS, HoH, QSS. 7 brackets 10%–37% (see Params).</t>
  </si>
  <si>
    <t xml:space="preserve">OBBBA (July 2025) made TCJA rates permanent. 2026 std deduction $16,100 single / $32,200 MFJ.</t>
  </si>
  <si>
    <t xml:space="preserve">Foreign Earned Income Exclusion (FEIE)</t>
  </si>
  <si>
    <t xml:space="preserve">Exclude foreign earned income up to $132,900 (2026) if tax home abroad and Bona Fide Residence or 330-day Physical Presence test met.</t>
  </si>
  <si>
    <t xml:space="preserve">Earned income only (not dividends/gains). Stacking rule taxes remaining income at higher rates. No FTC on excluded income. Revocation locks out re-election ~5 years. Self-employment tax still due unless totalization applies.</t>
  </si>
  <si>
    <t xml:space="preserve">Form 2555</t>
  </si>
  <si>
    <t xml:space="preserve">Foreign housing exclusion / deduction</t>
  </si>
  <si>
    <t xml:space="preserve">Excess housing costs above 16% of FEIE base can be excluded/deducted, capped by location.</t>
  </si>
  <si>
    <t xml:space="preserve">Portugal limit per IRS table — check annual notice.</t>
  </si>
  <si>
    <t xml:space="preserve">Foreign Tax Credit (FTC)</t>
  </si>
  <si>
    <t xml:space="preserve">Dollar-for-dollar credit for foreign income taxes on foreign-source income, limited to US tax on that income, by basket (general, passive).</t>
  </si>
  <si>
    <t xml:space="preserve">1-yr carryback, 10-yr carryforward. Often best when PT tax ≥ US tax. Needed to avoid double tax on PT-source dividends, gains.</t>
  </si>
  <si>
    <t xml:space="preserve">Form 1116</t>
  </si>
  <si>
    <t xml:space="preserve">Social security: FICA / SE tax</t>
  </si>
  <si>
    <t xml:space="preserve">Employee 7.65%; self-employed 15.3% on 92.35% of net profit (OASDI wage base $184,500 for 2026). Additional Medicare 0.9% above $200k/$250k.</t>
  </si>
  <si>
    <t xml:space="preserve">US–PT totalization agreement (in force 1989): pay in ONE country. PT-employed → PT SS; US employer sending you abroad → certificate of coverage from SSA (up to 5 yrs).</t>
  </si>
  <si>
    <t xml:space="preserve">Form 1040 Sch SE; SSA certificate</t>
  </si>
  <si>
    <t xml:space="preserve">3.8% on lesser of NII or MAGI above $200k/$250k.</t>
  </si>
  <si>
    <t xml:space="preserve">Not reduced by FTC (treaty credit position debated).</t>
  </si>
  <si>
    <t xml:space="preserve">Form 8960</t>
  </si>
  <si>
    <t xml:space="preserve">Capital gains &amp; qualified dividends</t>
  </si>
  <si>
    <t xml:space="preserve">0% / 15% / 20% on long-term gains; ordinary rates for short-term.</t>
  </si>
  <si>
    <t xml:space="preserve">Primary-home exclusion $250k/$500k (§121). PT also exempts main-home gains if reinvested.</t>
  </si>
  <si>
    <t xml:space="preserve">Form 8949, Sch D</t>
  </si>
  <si>
    <t xml:space="preserve">QBI deduction (§199A)</t>
  </si>
  <si>
    <t xml:space="preserve">Up to 20% deduction for pass-through business income (made permanent by OBBBA).</t>
  </si>
  <si>
    <t xml:space="preserve">Applies to US trade or business income; foreign-source income generally excluded.</t>
  </si>
  <si>
    <t xml:space="preserve">Form 8995</t>
  </si>
  <si>
    <t xml:space="preserve">PFIC rules</t>
  </si>
  <si>
    <t xml:space="preserve">Non-US funds/ETFs (including most Portuguese funds) are Passive Foreign Investment Companies — punitive tax and heavy reporting.</t>
  </si>
  <si>
    <t xml:space="preserve">Buy US-domiciled ETFs/funds where possible; consider QEF/MTM elections. Common expat trap.</t>
  </si>
  <si>
    <t xml:space="preserve">Form 8621</t>
  </si>
  <si>
    <t xml:space="preserve">FBAR</t>
  </si>
  <si>
    <t xml:space="preserve">Report foreign accounts if aggregate balance &gt; $10,000 at any time in the year.</t>
  </si>
  <si>
    <t xml:space="preserve">Due Apr 15, automatic extension to Oct 15. Penalties severe, even for non-wilful.</t>
  </si>
  <si>
    <t xml:space="preserve">FinCEN 114</t>
  </si>
  <si>
    <t xml:space="preserve">FATCA Form 8938</t>
  </si>
  <si>
    <t xml:space="preserve">Specified foreign financial assets above $200k (single) / $400k (joint) at year-end or $300k/$600k any time, if living abroad.</t>
  </si>
  <si>
    <t xml:space="preserve">Filed with the return; separate from FBAR.</t>
  </si>
  <si>
    <t xml:space="preserve">Form 8938</t>
  </si>
  <si>
    <t xml:space="preserve">Foreign corporations (Lda, Unipessoal)</t>
  </si>
  <si>
    <t xml:space="preserve">Owning ≥10% of a foreign company triggers info return; GILTI/Subpart F can tax profits immediately.</t>
  </si>
  <si>
    <t xml:space="preserve">A Portuguese Lda is often tax-inefficient for a US person without careful structuring (check-the-box, GILTI high-tax exclusion).</t>
  </si>
  <si>
    <t xml:space="preserve">Form 5471, 8858, 8992</t>
  </si>
  <si>
    <t xml:space="preserve">Foreign trusts / gifts</t>
  </si>
  <si>
    <t xml:space="preserve">Large gifts from foreign persons (&gt; $100k) and foreign trusts must be reported.</t>
  </si>
  <si>
    <t xml:space="preserve">Penalty 5%/month up to 25%.</t>
  </si>
  <si>
    <t xml:space="preserve">Form 3520/3520-A</t>
  </si>
  <si>
    <t xml:space="preserve">Pensions / retirement accounts</t>
  </si>
  <si>
    <t xml:space="preserve">401(k)/IRA tax-deferred; Roth tax-free in US. Treaty Art. 18: pensions taxed by residence state.</t>
  </si>
  <si>
    <t xml:space="preserve">PT may tax Roth/IRA growth/distributions — mismatch risk. PT does NOT recognise Roth as exempt; get advice before contributions or conversions.</t>
  </si>
  <si>
    <t xml:space="preserve">Treaty Art. 18</t>
  </si>
  <si>
    <t xml:space="preserve">Estate &amp; gift tax</t>
  </si>
  <si>
    <t xml:space="preserve">Unified exemption $15M per person (2026, OBBBA). US citizens taxed on worldwide estate.</t>
  </si>
  <si>
    <t xml:space="preserve">No US–PT estate treaty. PT has no inheritance tax (stamp duty 10% for non-family heirs).</t>
  </si>
  <si>
    <t xml:space="preserve">Form 706 / 709</t>
  </si>
  <si>
    <t xml:space="preserve">Expatriation</t>
  </si>
  <si>
    <t xml:space="preserve">Covered expatriates face exit tax (§877A) on deemed sale of assets.</t>
  </si>
  <si>
    <t xml:space="preserve">Test: net worth ≥ $2M, avg tax liability &gt; threshold, or non-compliance in 5 years.</t>
  </si>
  <si>
    <t xml:space="preserve">Form 8854</t>
  </si>
  <si>
    <t xml:space="preserve">Deadlines abroad</t>
  </si>
  <si>
    <t xml:space="preserve">Automatic 2-month extension to Jun 15 for taxpayers abroad; Form 4868 to Oct 15. Interest still runs from Apr 15.</t>
  </si>
  <si>
    <t xml:space="preserve">—</t>
  </si>
  <si>
    <t xml:space="preserve">Streamlined procedures</t>
  </si>
  <si>
    <t xml:space="preserve">Catch up on missed filings with reduced/no penalties if non-wilful.</t>
  </si>
  <si>
    <t xml:space="preserve">Streamlined Foreign Offshore Procedures: 3 years returns + 6 years FBARs; no penalty.</t>
  </si>
  <si>
    <t xml:space="preserve">Form 14653</t>
  </si>
  <si>
    <t xml:space="preserve">State tax</t>
  </si>
  <si>
    <t xml:space="preserve">Some states keep claiming residents who move abroad (CA, NY, VA, SC, NM etc.).</t>
  </si>
  <si>
    <t xml:space="preserve">Break domicile cleanly: driver's licence, voter registration, property, banking.</t>
  </si>
  <si>
    <t xml:space="preserve">State rules</t>
  </si>
  <si>
    <t xml:space="preserve">Portugal — regimes, laws &amp; traps</t>
  </si>
  <si>
    <t xml:space="preserve">Planning reference. Tax rules change yearly — confirm with the State Budget and a certified accountant (contabilista certificado).</t>
  </si>
  <si>
    <t xml:space="preserve">Source</t>
  </si>
  <si>
    <t xml:space="preserve">Tax residency</t>
  </si>
  <si>
    <t xml:space="preserve">Resident if &gt;183 days in PT in any 12-month period or you hold a habitual dwelling on 31 Dec that suggests intent to keep it.</t>
  </si>
  <si>
    <t xml:space="preserve">Residents taxed on worldwide income; non-residents on PT-source only (25% flat on most income).</t>
  </si>
  <si>
    <t xml:space="preserve">CIRS art. 16</t>
  </si>
  <si>
    <t xml:space="preserve">Categories of income</t>
  </si>
  <si>
    <t xml:space="preserve">A employment · B business/professional · E capital · F rental · G capital gains · H pensions.</t>
  </si>
  <si>
    <t xml:space="preserve">Each category has own deductions and sometimes own rates.</t>
  </si>
  <si>
    <t xml:space="preserve">CIRS art. 1–3</t>
  </si>
  <si>
    <t xml:space="preserve">Progressive IRS rates</t>
  </si>
  <si>
    <t xml:space="preserve">9 brackets 12.5%–48% on mainland (see Params, 2026).</t>
  </si>
  <si>
    <t xml:space="preserve">Joint filing: quotient conjugal — income halved, tax doubled.</t>
  </si>
  <si>
    <t xml:space="preserve">CIRS art. 68</t>
  </si>
  <si>
    <t xml:space="preserve">Specific deduction (cat. A)</t>
  </si>
  <si>
    <t xml:space="preserve">€4,350 or SS contributions if higher.</t>
  </si>
  <si>
    <t xml:space="preserve">2.5% on taxable income €80k–€250k; 5% above €250k.</t>
  </si>
  <si>
    <t xml:space="preserve">Personal deductions (dedução à coleta)</t>
  </si>
  <si>
    <t xml:space="preserve">€600/taxpayer; health 15% (cap €1,000); education 30% (cap €800); general expenses 35% (cap €250); housing, ERPI, VAT-receipt (e-fatura) categories.</t>
  </si>
  <si>
    <t xml:space="preserve">Deductions to tax, not income.</t>
  </si>
  <si>
    <t xml:space="preserve">CIRS art. 78-A ff.</t>
  </si>
  <si>
    <t xml:space="preserve">Freelancers — simplified regime</t>
  </si>
  <si>
    <t xml:space="preserve">Taxable income = 75% of professional-services revenue (35% for many other activities). Organised accounting optional/required above €200k.</t>
  </si>
  <si>
    <t xml:space="preserve">Minimum deduction rule: expenses + SS must reach 15% of revenue or you deduct the shortfall. First-year 50% / second-year 25% reduction.</t>
  </si>
  <si>
    <t xml:space="preserve">CIRS art. 28, 31</t>
  </si>
  <si>
    <t xml:space="preserve">Autonomous taxation 28%</t>
  </si>
  <si>
    <t xml:space="preserve">Interest, dividends and securities gains taxed at 28% flat (option to aggregate).</t>
  </si>
  <si>
    <t xml:space="preserve">US-PT treaty caps source withholding at 15% (dividends) / 10% (interest). Crypto gains &lt; 365 days taxed 28%; ≥365 days exempt (check latest budget).</t>
  </si>
  <si>
    <t xml:space="preserve">Real estate gains</t>
  </si>
  <si>
    <t xml:space="preserve">50% of gain taxed at progressive rates; exclusion for main home if proceeds reinvested in PT/EU within 36 months.</t>
  </si>
  <si>
    <t xml:space="preserve">Inflation adjustment on cost for holdings &gt;24 months.</t>
  </si>
  <si>
    <t xml:space="preserve">CIRS art. 10</t>
  </si>
  <si>
    <t xml:space="preserve">Rental income (cat. F)</t>
  </si>
  <si>
    <t xml:space="preserve">28% autonomous (reduced rates for long leases) or aggregate; expenses deductible.</t>
  </si>
  <si>
    <t xml:space="preserve">Non-residents 25%. Alojamento Local (short-term) regime: 35% coefficient.</t>
  </si>
  <si>
    <t xml:space="preserve">NHR regime (legacy)</t>
  </si>
  <si>
    <t xml:space="preserve">Closed to new entrants after 31 Mar 2024. Those already registered keep 10-year benefits: 20% flat on PT-source high-value work; foreign income largely exempt; pensions had 10%.</t>
  </si>
  <si>
    <t xml:space="preserve">Transitional rule: eligible if you had a lease/purchase or work contract by 31 Dec 2023.</t>
  </si>
  <si>
    <t xml:space="preserve">EBF art. 58-A (old)</t>
  </si>
  <si>
    <t xml:space="preserve">IFICI / 'NHR 2.0'</t>
  </si>
  <si>
    <t xml:space="preserve">10-year regime: 20% flat on PT-source employment/self-employment in eligible activities (researchers, tech, startups, qualifying companies, etc.). Foreign-source income of cats. A, B, E, F, G generally exempt, subject to conditions.</t>
  </si>
  <si>
    <t xml:space="preserve">Not tax resident in PT in prior 5 years. Register at Finanças by Jan 15 of year after arriving. Pensions are NOT covered. Check US citizens' treaty position.</t>
  </si>
  <si>
    <t xml:space="preserve">Law 20/2024; EBF art. 58-A</t>
  </si>
  <si>
    <t xml:space="preserve">IRS Jovem</t>
  </si>
  <si>
    <t xml:space="preserve">Age ≤ 35: exemption on salaries — 100% yr 1 falling to 25% yr 10 (post-2025 scheme; caps).</t>
  </si>
  <si>
    <t xml:space="preserve">Cannot be combined with IFICI.</t>
  </si>
  <si>
    <t xml:space="preserve">CIRS art. 12-B</t>
  </si>
  <si>
    <t xml:space="preserve">Social Security</t>
  </si>
  <si>
    <t xml:space="preserve">Employee 11%, employer 23.75%. Self-employed 21.4% on 70% of revenue (services), 12-month first-year exemption.</t>
  </si>
  <si>
    <t xml:space="preserve">Exempt if covered by US system under totalization agreement.</t>
  </si>
  <si>
    <t xml:space="preserve">Corporate (IRC)</t>
  </si>
  <si>
    <t xml:space="preserve">Standard rate 20% in 2025, falling ~1 pt/yr to 17% by 2028; reduced SME rate on first €50k; municipal surcharge up to 1.5% + state surcharge on large profits.</t>
  </si>
  <si>
    <t xml:space="preserve">Verify yearly. Dividends from Lda to US person: PT 28% withholding, treaty 15% — plus US PFIC/GILTI issues.</t>
  </si>
  <si>
    <t xml:space="preserve">CIRC</t>
  </si>
  <si>
    <t xml:space="preserve">VAT (IVA)</t>
  </si>
  <si>
    <t xml:space="preserve">Mainland 23% / 13% / 6%; Madeira &amp; Azores lower. Exemption below ~€15k turnover (small-business regime).</t>
  </si>
  <si>
    <t xml:space="preserve">Registered via Atividade Aberta; quarterly or monthly returns.</t>
  </si>
  <si>
    <t xml:space="preserve">CIVA</t>
  </si>
  <si>
    <t xml:space="preserve">Property taxes</t>
  </si>
  <si>
    <t xml:space="preserve">IMI 0.3%–0.45% on urban property annually; AIMI on holdings &gt; €600k per owner (0.7%–1.5%); IMT on purchase (up to 8%); stamp duty 0.8% on purchase.</t>
  </si>
  <si>
    <t xml:space="preserve">No wealth, inheritance (to family) or gift tax among close relatives.</t>
  </si>
  <si>
    <t xml:space="preserve">CIMI / CIMT / CIS</t>
  </si>
  <si>
    <t xml:space="preserve">Wealth / inheritance</t>
  </si>
  <si>
    <t xml:space="preserve">No general wealth tax. Stamp duty 10% on inheritance to non-spouse/descendants/ascendants.</t>
  </si>
  <si>
    <t xml:space="preserve">CIS</t>
  </si>
  <si>
    <t xml:space="preserve">Filing</t>
  </si>
  <si>
    <t xml:space="preserve">Modelo 3 annually, Apr 1–Jun 30; payment by Sep 30. Anexo J for foreign income (US wages, dividends, gains). Joint or separate.</t>
  </si>
  <si>
    <t xml:space="preserve">Foreign income must be declared even if exempt; exempt income still enters rate calculation (progressão).</t>
  </si>
  <si>
    <t xml:space="preserve">Portal das Finanças</t>
  </si>
  <si>
    <t xml:space="preserve">Foreign accounts</t>
  </si>
  <si>
    <t xml:space="preserve">Disclose foreign bank accounts on Modelo 3 (Anexo J, Q.14).</t>
  </si>
  <si>
    <t xml:space="preserve">Required alongside US FBAR/8938.</t>
  </si>
  <si>
    <t xml:space="preserve">Anexo J</t>
  </si>
  <si>
    <t xml:space="preserve">US–Portugal treaty &amp; double-tax relief</t>
  </si>
  <si>
    <t xml:space="preserve">Summary of main treaty mechanics; always read the treaty text and the saving clause exceptions.</t>
  </si>
  <si>
    <t xml:space="preserve">Treaty position</t>
  </si>
  <si>
    <t xml:space="preserve">Planning implication</t>
  </si>
  <si>
    <t xml:space="preserve">Article</t>
  </si>
  <si>
    <t xml:space="preserve">Treaty</t>
  </si>
  <si>
    <t xml:space="preserve">US–Portugal Income Tax Convention, signed 1994, in force 1996.</t>
  </si>
  <si>
    <t xml:space="preserve">Article 4 (residence), 10–12 (investment income), 15–19 (employment, artists, pensions, gov't service), 24 (relief), 'savings clause'.</t>
  </si>
  <si>
    <t xml:space="preserve">Residence tie-breaker (Art. 4)</t>
  </si>
  <si>
    <t xml:space="preserve">If resident of both: 1) permanent home, 2) centre of vital interests, 3) habitual abode, 4) nationality, 5) mutual agreement.</t>
  </si>
  <si>
    <t xml:space="preserve">US citizen + PT resident = dual-resident → usually PT under test 1–2 for treaty purposes, but US still taxes citizens via saving clause.</t>
  </si>
  <si>
    <t xml:space="preserve">Art. 4</t>
  </si>
  <si>
    <t xml:space="preserve">Dividends (Art. 10)</t>
  </si>
  <si>
    <t xml:space="preserve">Source-country cap: 5% (company holding ≥25%) / 15% otherwise.</t>
  </si>
  <si>
    <t xml:space="preserve">Resident country taxes in full with credit for source tax.</t>
  </si>
  <si>
    <t xml:space="preserve">Art. 10</t>
  </si>
  <si>
    <t xml:space="preserve">Interest (Art. 11)</t>
  </si>
  <si>
    <t xml:space="preserve">Cap 10% at source.</t>
  </si>
  <si>
    <t xml:space="preserve">Art. 11</t>
  </si>
  <si>
    <t xml:space="preserve">Royalties (Art. 12)</t>
  </si>
  <si>
    <t xml:space="preserve">Art. 12</t>
  </si>
  <si>
    <t xml:space="preserve">Capital gains (Art. 13)</t>
  </si>
  <si>
    <t xml:space="preserve">Real estate: taxed where situated. Shares: residence state (with exceptions).</t>
  </si>
  <si>
    <t xml:space="preserve">PT 28% on securities gains; US 15%/20% with FTC.</t>
  </si>
  <si>
    <t xml:space="preserve">Art. 13</t>
  </si>
  <si>
    <t xml:space="preserve">Employment (Art. 15)</t>
  </si>
  <si>
    <t xml:space="preserve">Taxed where work is performed; 183-day exception for short secondments.</t>
  </si>
  <si>
    <t xml:space="preserve">Remote work for a US employer from PT is PT-source for PT purposes.</t>
  </si>
  <si>
    <t xml:space="preserve">Art. 15</t>
  </si>
  <si>
    <t xml:space="preserve">Pensions (Art. 18)</t>
  </si>
  <si>
    <t xml:space="preserve">Private pensions taxable only in residence state. Social Security benefits taxable only in paying state.</t>
  </si>
  <si>
    <t xml:space="preserve">Treaty benefit for US Social Security benefits — but saving clause for US citizens; check current IRS position.</t>
  </si>
  <si>
    <t xml:space="preserve">Art. 18</t>
  </si>
  <si>
    <t xml:space="preserve">Relief from double taxation (Art. 24)</t>
  </si>
  <si>
    <t xml:space="preserve">Portugal grants credit for US tax on US-source income; US grants FTC for PT tax. Credit limited to tax on that income.</t>
  </si>
  <si>
    <t xml:space="preserve">US citizens: US credit generally for PT tax on PT-source income; PT re-sourcing rules in Art. 24 may allow credits for US tax on US-source dividends.</t>
  </si>
  <si>
    <t xml:space="preserve">Art. 24</t>
  </si>
  <si>
    <t xml:space="preserve">Saving clause</t>
  </si>
  <si>
    <t xml:space="preserve">US reserves right to tax its citizens/residents as if the treaty had not come into effect (with exceptions).</t>
  </si>
  <si>
    <t xml:space="preserve">Why FTC/FEIE planning matters even with a treaty.</t>
  </si>
  <si>
    <t xml:space="preserve">Art. 1</t>
  </si>
  <si>
    <t xml:space="preserve">Totalization agreement</t>
  </si>
  <si>
    <t xml:space="preserve">Social Security: in force 1989. Pay in one country only; employee/self-employed coverage rules; certificate of coverage.</t>
  </si>
  <si>
    <t xml:space="preserve">Self-employed: coverage follows country of residence; employee: country of work, with detached-worker exception.</t>
  </si>
  <si>
    <t xml:space="preserve">SSA/Segurança Social</t>
  </si>
  <si>
    <t xml:space="preserve">Mutual agreement procedure</t>
  </si>
  <si>
    <t xml:space="preserve">Taxpayer may request competent-authority assistance if taxed contrary to treaty.</t>
  </si>
  <si>
    <t xml:space="preserve">Rare, slow; consider only for material double-tax disputes.</t>
  </si>
  <si>
    <t xml:space="preserve">Art. 25</t>
  </si>
  <si>
    <t xml:space="preserve">Compliance calendar — US &amp; Portugal</t>
  </si>
  <si>
    <t xml:space="preserve">Dates are typical; confirm yearly. Weekend/holiday shifts apply.</t>
  </si>
  <si>
    <t xml:space="preserve">Date</t>
  </si>
  <si>
    <t xml:space="preserve">Country</t>
  </si>
  <si>
    <t xml:space="preserve">Obligation</t>
  </si>
  <si>
    <t xml:space="preserve">Form / system</t>
  </si>
  <si>
    <t xml:space="preserve">Notes</t>
  </si>
  <si>
    <t xml:space="preserve">Jan 15</t>
  </si>
  <si>
    <t xml:space="preserve">Q4 estimated tax payment (Form 1040-ES) for prior year</t>
  </si>
  <si>
    <t xml:space="preserve">Estimated taxes</t>
  </si>
  <si>
    <t xml:space="preserve">If income not subject to withholding</t>
  </si>
  <si>
    <t xml:space="preserve">PT</t>
  </si>
  <si>
    <t xml:space="preserve">IFICI/NHR registration deadline (year after arrival)</t>
  </si>
  <si>
    <t xml:space="preserve">Finanças portal</t>
  </si>
  <si>
    <t xml:space="preserve">Verify exact current rule</t>
  </si>
  <si>
    <t xml:space="preserve">Apr 1 – Jun 30</t>
  </si>
  <si>
    <t xml:space="preserve">IRS Modelo 3 filing window (+ Anexo J for foreign income)</t>
  </si>
  <si>
    <t xml:space="preserve">Modelo 3</t>
  </si>
  <si>
    <t xml:space="preserve">Payment due by Sep 30 (or instalments)</t>
  </si>
  <si>
    <t xml:space="preserve">Apr 15</t>
  </si>
  <si>
    <t xml:space="preserve">Form 1040 due; FBAR (FinCEN 114) due</t>
  </si>
  <si>
    <t xml:space="preserve">Form 1040, FinCEN 114</t>
  </si>
  <si>
    <t xml:space="preserve">Residents abroad get automatic extension to Jun 15 (tax) / Oct 15 (FBAR)</t>
  </si>
  <si>
    <t xml:space="preserve">Jun 15</t>
  </si>
  <si>
    <t xml:space="preserve">Return due date for taxpayers abroad (interest accrues from Apr 15)</t>
  </si>
  <si>
    <t xml:space="preserve">Q2 estimated payment also due</t>
  </si>
  <si>
    <t xml:space="preserve">Sep 30</t>
  </si>
  <si>
    <t xml:space="preserve">IRS payment deadline (Modelo 3 balance)</t>
  </si>
  <si>
    <t xml:space="preserve">Oct 15</t>
  </si>
  <si>
    <t xml:space="preserve">Extended return due date (Form 4868) and FBAR extension end</t>
  </si>
  <si>
    <t xml:space="preserve">Form 4868</t>
  </si>
  <si>
    <t xml:space="preserve">Quarterly (Jan/Apr/Jul/Oct)</t>
  </si>
  <si>
    <t xml:space="preserve">Self-employed Social Security quarterly declaration + VAT returns</t>
  </si>
  <si>
    <t xml:space="preserve">Segurança Social / IVA</t>
  </si>
  <si>
    <t xml:space="preserve">Quarterly regime if turnover &lt; €650k</t>
  </si>
  <si>
    <t xml:space="preserve">Apr / Jul / Nov</t>
  </si>
  <si>
    <t xml:space="preserve">IMI (property tax) instalments</t>
  </si>
  <si>
    <t xml:space="preserve">Finanças</t>
  </si>
  <si>
    <t xml:space="preserve">Single payment possible if under €100</t>
  </si>
  <si>
    <t xml:space="preserve">Sep</t>
  </si>
  <si>
    <t xml:space="preserve">AIMI (additional property tax) payment</t>
  </si>
  <si>
    <t xml:space="preserve">If holdings &gt; €600k</t>
  </si>
  <si>
    <t xml:space="preserve">Dec 31</t>
  </si>
  <si>
    <t xml:space="preserve">Both</t>
  </si>
  <si>
    <t xml:space="preserve">Year-end tax planning: harvest gains/losses, FEIE 330-day count, tax-residence day count</t>
  </si>
  <si>
    <t xml:space="preserve">Anytime</t>
  </si>
  <si>
    <t xml:space="preserve">Obtain NIF, Social Security number, certificate of coverage, open PT bank account (note FBAR)</t>
  </si>
  <si>
    <t xml:space="preserve">Planning checklist</t>
  </si>
  <si>
    <t xml:space="preserve">Update status in column E.</t>
  </si>
  <si>
    <t xml:space="preserve">Task</t>
  </si>
  <si>
    <t xml:space="preserve">Priority</t>
  </si>
  <si>
    <t xml:space="preserve">Deadline</t>
  </si>
  <si>
    <t xml:space="preserve">Status</t>
  </si>
  <si>
    <t xml:space="preserve">Confirm tax residency in PT and US (day count, habitual dwelling)</t>
  </si>
  <si>
    <t xml:space="preserve">High</t>
  </si>
  <si>
    <t xml:space="preserve">Before first filing</t>
  </si>
  <si>
    <t xml:space="preserve">Not started</t>
  </si>
  <si>
    <t xml:space="preserve">Apply treaty tie-breaker where dual-resident</t>
  </si>
  <si>
    <t xml:space="preserve">Obtain NIF, NISS, open PT bank account</t>
  </si>
  <si>
    <t xml:space="preserve">On arrival</t>
  </si>
  <si>
    <t xml:space="preserve">Report accounts on FBAR/8938 and Anexo J</t>
  </si>
  <si>
    <t xml:space="preserve">Decide FEIE vs FTC (run Summary)</t>
  </si>
  <si>
    <t xml:space="preserve">Before filing</t>
  </si>
  <si>
    <t xml:space="preserve">FTC builds carryover credits; FEIE locks in</t>
  </si>
  <si>
    <t xml:space="preserve">Evaluate IFICI eligibility and register</t>
  </si>
  <si>
    <t xml:space="preserve">Jan 15 following arrival</t>
  </si>
  <si>
    <t xml:space="preserve">Activity list + 5 years non-resident</t>
  </si>
  <si>
    <t xml:space="preserve">Social-security coverage: obtain certificate of coverage</t>
  </si>
  <si>
    <t xml:space="preserve">Before starting work</t>
  </si>
  <si>
    <t xml:space="preserve">Avoid double contributions</t>
  </si>
  <si>
    <t xml:space="preserve">Check investments for PFIC exposure</t>
  </si>
  <si>
    <t xml:space="preserve">Annually</t>
  </si>
  <si>
    <t xml:space="preserve">Replace non-US ETFs with US-domiciled where possible</t>
  </si>
  <si>
    <t xml:space="preserve">File FBAR and Form 8938 where thresholds met</t>
  </si>
  <si>
    <t xml:space="preserve">Apr 15 / Oct 15</t>
  </si>
  <si>
    <t xml:space="preserve">Check retirement accounts (Roth / IRA) for PT tax treatment</t>
  </si>
  <si>
    <t xml:space="preserve">Medium</t>
  </si>
  <si>
    <t xml:space="preserve">Before contributions/distributions</t>
  </si>
  <si>
    <t xml:space="preserve">PT does not give Roth exemption</t>
  </si>
  <si>
    <t xml:space="preserve">Review self-employment structure (sole trader vs Lda)</t>
  </si>
  <si>
    <t xml:space="preserve">Before starting</t>
  </si>
  <si>
    <t xml:space="preserve">Lda raises GILTI/5471 issues for US owners</t>
  </si>
  <si>
    <t xml:space="preserve">Review US state domicile exit</t>
  </si>
  <si>
    <t xml:space="preserve">On departure</t>
  </si>
  <si>
    <t xml:space="preserve">Check treaty withholding forms (W-8/W-9, PT Modelo 21-RFI)</t>
  </si>
  <si>
    <t xml:space="preserve">Estate planning: US/PT wills; PT forced heirship (Reg. EU 650/2012 choice of law)</t>
  </si>
  <si>
    <t xml:space="preserve">Low</t>
  </si>
  <si>
    <t xml:space="preserve">Choose law of nationality in will</t>
  </si>
  <si>
    <t xml:space="preserve">Hire US CPA/EA + PT contabilista certificado</t>
  </si>
  <si>
    <t xml:space="preserve">Cross-border specialists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</si>
</sst>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000"/>
    <numFmt numFmtId="167" formatCode="\€#,##0;&quot;(€&quot;#,##0\);\-"/>
    <numFmt numFmtId="168" formatCode="0%"/>
    <numFmt numFmtId="169" formatCode="0.0%;\(0.0%\);\-"/>
    <numFmt numFmtId="170" formatCode="\$#,##0;&quot;($&quot;#,##0\);\-"/>
    <numFmt numFmtId="171" formatCode="0.00%"/>
    <numFmt numFmtId="172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3" t="s">
        <v>11</v>
      </c>
      <c r="B9" s="4"/>
    </row>
    <row r="10" customFormat="false" ht="15" hidden="false" customHeight="false" outlineLevel="0" collapsed="false">
      <c r="A10" s="5" t="s">
        <v>12</v>
      </c>
      <c r="B10" s="6" t="s">
        <v>13</v>
      </c>
    </row>
    <row r="11" customFormat="false" ht="15" hidden="false" customHeight="false" outlineLevel="0" collapsed="false">
      <c r="A11" s="5" t="s">
        <v>14</v>
      </c>
      <c r="B11" s="6" t="s">
        <v>15</v>
      </c>
    </row>
    <row r="12" customFormat="false" ht="15" hidden="false" customHeight="false" outlineLevel="0" collapsed="false">
      <c r="A12" s="5" t="s">
        <v>16</v>
      </c>
      <c r="B12" s="6" t="s">
        <v>17</v>
      </c>
    </row>
    <row r="13" customFormat="false" ht="15" hidden="false" customHeight="false" outlineLevel="0" collapsed="false">
      <c r="A13" s="3" t="s">
        <v>18</v>
      </c>
      <c r="B13" s="4"/>
    </row>
    <row r="14" customFormat="false" ht="15" hidden="false" customHeight="false" outlineLevel="0" collapsed="false">
      <c r="A14" s="5" t="s">
        <v>19</v>
      </c>
      <c r="B14" s="6" t="s">
        <v>20</v>
      </c>
    </row>
    <row r="15" customFormat="false" ht="23.85" hidden="false" customHeight="false" outlineLevel="0" collapsed="false">
      <c r="A15" s="5" t="s">
        <v>21</v>
      </c>
      <c r="B15" s="6" t="s">
        <v>22</v>
      </c>
    </row>
    <row r="16" customFormat="false" ht="15" hidden="false" customHeight="false" outlineLevel="0" collapsed="false">
      <c r="A16" s="5" t="s">
        <v>23</v>
      </c>
      <c r="B16" s="6" t="s">
        <v>24</v>
      </c>
    </row>
    <row r="17" customFormat="false" ht="15" hidden="false" customHeight="false" outlineLevel="0" collapsed="false">
      <c r="A17" s="3" t="s">
        <v>25</v>
      </c>
      <c r="B17" s="4"/>
    </row>
    <row r="18" customFormat="false" ht="15" hidden="false" customHeight="false" outlineLevel="0" collapsed="false">
      <c r="A18" s="5" t="s">
        <v>3</v>
      </c>
      <c r="B18" s="6" t="s">
        <v>26</v>
      </c>
    </row>
    <row r="19" customFormat="false" ht="15" hidden="false" customHeight="false" outlineLevel="0" collapsed="false">
      <c r="A19" s="5" t="s">
        <v>5</v>
      </c>
      <c r="B19" s="6" t="s">
        <v>27</v>
      </c>
    </row>
    <row r="20" customFormat="false" ht="15" hidden="false" customHeight="false" outlineLevel="0" collapsed="false">
      <c r="A20" s="5" t="s">
        <v>7</v>
      </c>
      <c r="B20" s="6" t="s">
        <v>28</v>
      </c>
    </row>
    <row r="21" customFormat="false" ht="15" hidden="false" customHeight="false" outlineLevel="0" collapsed="false">
      <c r="A21" s="5" t="s">
        <v>9</v>
      </c>
      <c r="B21" s="6" t="s">
        <v>29</v>
      </c>
    </row>
    <row r="22" customFormat="false" ht="15" hidden="false" customHeight="false" outlineLevel="0" collapsed="false">
      <c r="A22" s="5" t="s">
        <v>30</v>
      </c>
      <c r="B22" s="6" t="s">
        <v>31</v>
      </c>
    </row>
    <row r="23" customFormat="false" ht="23.85" hidden="false" customHeight="false" outlineLevel="0" collapsed="false">
      <c r="A23" s="5" t="s">
        <v>32</v>
      </c>
      <c r="B23" s="6" t="s">
        <v>33</v>
      </c>
    </row>
    <row r="24" customFormat="false" ht="15" hidden="false" customHeight="false" outlineLevel="0" collapsed="false">
      <c r="A24" s="3" t="s">
        <v>34</v>
      </c>
      <c r="B24" s="4"/>
    </row>
    <row r="25" customFormat="false" ht="23.85" hidden="false" customHeight="false" outlineLevel="0" collapsed="false">
      <c r="A25" s="5"/>
      <c r="B25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4"/>
      <c r="C4" s="4"/>
      <c r="D4" s="4"/>
    </row>
    <row r="5" customFormat="false" ht="15" hidden="false" customHeight="false" outlineLevel="0" collapsed="false">
      <c r="A5" s="7" t="s">
        <v>39</v>
      </c>
      <c r="C5" s="8" t="n">
        <v>2026</v>
      </c>
      <c r="D5" s="2" t="s">
        <v>40</v>
      </c>
    </row>
    <row r="6" customFormat="false" ht="15" hidden="false" customHeight="false" outlineLevel="0" collapsed="false">
      <c r="A6" s="7" t="s">
        <v>41</v>
      </c>
      <c r="C6" s="9" t="s">
        <v>42</v>
      </c>
      <c r="D6" s="2" t="s">
        <v>43</v>
      </c>
    </row>
    <row r="7" customFormat="false" ht="15" hidden="false" customHeight="false" outlineLevel="0" collapsed="false">
      <c r="A7" s="7" t="s">
        <v>44</v>
      </c>
      <c r="C7" s="9" t="s">
        <v>45</v>
      </c>
      <c r="D7" s="2" t="s">
        <v>46</v>
      </c>
    </row>
    <row r="8" customFormat="false" ht="15" hidden="false" customHeight="false" outlineLevel="0" collapsed="false">
      <c r="A8" s="7" t="s">
        <v>47</v>
      </c>
      <c r="C8" s="10" t="n">
        <v>1.15</v>
      </c>
      <c r="D8" s="2" t="s">
        <v>48</v>
      </c>
    </row>
    <row r="9" customFormat="false" ht="15" hidden="false" customHeight="false" outlineLevel="0" collapsed="false">
      <c r="A9" s="7" t="s">
        <v>49</v>
      </c>
      <c r="C9" s="9" t="s">
        <v>21</v>
      </c>
      <c r="D9" s="2" t="s">
        <v>50</v>
      </c>
    </row>
    <row r="10" customFormat="false" ht="15" hidden="false" customHeight="false" outlineLevel="0" collapsed="false">
      <c r="A10" s="7" t="s">
        <v>51</v>
      </c>
      <c r="C10" s="9" t="s">
        <v>52</v>
      </c>
      <c r="D10" s="2" t="s">
        <v>53</v>
      </c>
    </row>
    <row r="11" customFormat="false" ht="15" hidden="false" customHeight="false" outlineLevel="0" collapsed="false">
      <c r="A11" s="3" t="s">
        <v>54</v>
      </c>
      <c r="B11" s="4"/>
      <c r="C11" s="4"/>
      <c r="D11" s="4"/>
    </row>
    <row r="12" customFormat="false" ht="15" hidden="false" customHeight="false" outlineLevel="0" collapsed="false">
      <c r="A12" s="7" t="s">
        <v>55</v>
      </c>
      <c r="C12" s="11" t="n">
        <v>60000</v>
      </c>
      <c r="D12" s="2" t="s">
        <v>56</v>
      </c>
    </row>
    <row r="13" customFormat="false" ht="15" hidden="false" customHeight="false" outlineLevel="0" collapsed="false">
      <c r="A13" s="7" t="s">
        <v>57</v>
      </c>
      <c r="C13" s="11" t="n">
        <v>0</v>
      </c>
      <c r="D13" s="2" t="s">
        <v>58</v>
      </c>
    </row>
    <row r="14" customFormat="false" ht="15" hidden="false" customHeight="false" outlineLevel="0" collapsed="false">
      <c r="A14" s="7" t="s">
        <v>59</v>
      </c>
      <c r="C14" s="11" t="n">
        <v>0</v>
      </c>
      <c r="D14" s="2" t="s">
        <v>60</v>
      </c>
    </row>
    <row r="15" customFormat="false" ht="15" hidden="false" customHeight="false" outlineLevel="0" collapsed="false">
      <c r="A15" s="7" t="s">
        <v>61</v>
      </c>
      <c r="C15" s="11" t="n">
        <v>2000</v>
      </c>
      <c r="D15" s="2"/>
    </row>
    <row r="16" customFormat="false" ht="15" hidden="false" customHeight="false" outlineLevel="0" collapsed="false">
      <c r="A16" s="7" t="s">
        <v>62</v>
      </c>
      <c r="C16" s="11" t="n">
        <v>5000</v>
      </c>
      <c r="D16" s="2" t="s">
        <v>63</v>
      </c>
    </row>
    <row r="17" customFormat="false" ht="15" hidden="false" customHeight="false" outlineLevel="0" collapsed="false">
      <c r="A17" s="7" t="s">
        <v>64</v>
      </c>
      <c r="C17" s="12" t="n">
        <v>1</v>
      </c>
      <c r="D17" s="2" t="s">
        <v>65</v>
      </c>
    </row>
    <row r="18" customFormat="false" ht="15" hidden="false" customHeight="false" outlineLevel="0" collapsed="false">
      <c r="A18" s="7" t="s">
        <v>66</v>
      </c>
      <c r="C18" s="12" t="n">
        <v>0</v>
      </c>
      <c r="D18" s="2" t="s">
        <v>65</v>
      </c>
    </row>
    <row r="19" customFormat="false" ht="15" hidden="false" customHeight="false" outlineLevel="0" collapsed="false">
      <c r="A19" s="7" t="s">
        <v>67</v>
      </c>
      <c r="C19" s="11" t="n">
        <v>0</v>
      </c>
      <c r="D19" s="2" t="s">
        <v>68</v>
      </c>
    </row>
    <row r="20" customFormat="false" ht="15" hidden="false" customHeight="false" outlineLevel="0" collapsed="false">
      <c r="A20" s="7" t="s">
        <v>69</v>
      </c>
      <c r="C20" s="11" t="n">
        <v>0</v>
      </c>
      <c r="D20" s="2" t="s">
        <v>70</v>
      </c>
    </row>
    <row r="22" customFormat="false" ht="15" hidden="false" customHeight="false" outlineLevel="0" collapsed="false">
      <c r="A22" s="2" t="s">
        <v>71</v>
      </c>
    </row>
  </sheetData>
  <dataValidations count="4">
    <dataValidation allowBlank="false" errorStyle="stop" operator="between" showDropDown="false" showErrorMessage="false" showInputMessage="false" sqref="C6" type="list">
      <formula1>"Single,Married"</formula1>
      <formula2>0</formula2>
    </dataValidation>
    <dataValidation allowBlank="false" errorStyle="stop" operator="between" showDropDown="false" showErrorMessage="false" showInputMessage="false" sqref="C7 C10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"US,Portugal"</formula1>
      <formula2>0</formula2>
    </dataValidation>
    <dataValidation allowBlank="false" errorStyle="stop" operator="between" showDropDown="false" showErrorMessage="false" showInputMessage="false" sqref="C17:C1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3" min="12" style="0" width="11"/>
  </cols>
  <sheetData>
    <row r="1" customFormat="false" ht="19.7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3" t="s">
        <v>74</v>
      </c>
      <c r="B4" s="4"/>
      <c r="C4" s="4"/>
      <c r="D4" s="4"/>
    </row>
    <row r="5" customFormat="false" ht="15" hidden="false" customHeight="false" outlineLevel="0" collapsed="false">
      <c r="A5" s="7" t="s">
        <v>75</v>
      </c>
      <c r="C5" s="13" t="n">
        <f aca="false">Inputs!C12+MAX(0,Inputs!C13-Inputs!C14)+Inputs!C15+Inputs!C16</f>
        <v>67000</v>
      </c>
    </row>
    <row r="6" customFormat="false" ht="15" hidden="false" customHeight="false" outlineLevel="0" collapsed="false">
      <c r="A6" s="7" t="s">
        <v>76</v>
      </c>
      <c r="C6" s="13" t="n">
        <f aca="false">(Inputs!C12+MAX(0,Inputs!C13-Inputs!C14))*Inputs!C17+(Inputs!C15+Inputs!C16)*Inputs!C18</f>
        <v>60000</v>
      </c>
    </row>
    <row r="7" customFormat="false" ht="15" hidden="false" customHeight="false" outlineLevel="0" collapsed="false">
      <c r="A7" s="7" t="s">
        <v>77</v>
      </c>
      <c r="C7" s="14" t="n">
        <f aca="false">IF(C5=0,0,C6/C5)</f>
        <v>0.895522388059702</v>
      </c>
    </row>
    <row r="8" customFormat="false" ht="15" hidden="false" customHeight="false" outlineLevel="0" collapsed="false">
      <c r="A8" s="7" t="s">
        <v>78</v>
      </c>
      <c r="C8" s="14" t="n">
        <f aca="false">1-C7</f>
        <v>0.104477611940298</v>
      </c>
    </row>
    <row r="9" customFormat="false" ht="15" hidden="false" customHeight="false" outlineLevel="0" collapsed="false">
      <c r="A9" s="7" t="s">
        <v>79</v>
      </c>
      <c r="C9" s="15" t="n">
        <f aca="false">IF(Inputs!C7="Yes",1,0)</f>
        <v>1</v>
      </c>
    </row>
    <row r="11" customFormat="false" ht="42" hidden="false" customHeight="true" outlineLevel="0" collapsed="false">
      <c r="A11" s="16" t="s">
        <v>80</v>
      </c>
      <c r="B11" s="16" t="s">
        <v>81</v>
      </c>
      <c r="C11" s="16" t="s">
        <v>82</v>
      </c>
      <c r="D11" s="16" t="s">
        <v>83</v>
      </c>
      <c r="E11" s="16" t="s">
        <v>84</v>
      </c>
      <c r="F11" s="16" t="s">
        <v>85</v>
      </c>
      <c r="G11" s="16" t="s">
        <v>86</v>
      </c>
      <c r="H11" s="16" t="s">
        <v>87</v>
      </c>
      <c r="I11" s="16" t="s">
        <v>88</v>
      </c>
      <c r="J11" s="16" t="s">
        <v>89</v>
      </c>
      <c r="K11" s="16" t="s">
        <v>90</v>
      </c>
      <c r="L11" s="16" t="s">
        <v>91</v>
      </c>
      <c r="M11" s="16" t="s">
        <v>92</v>
      </c>
    </row>
    <row r="12" customFormat="false" ht="15" hidden="false" customHeight="false" outlineLevel="0" collapsed="false">
      <c r="A12" s="17" t="s">
        <v>93</v>
      </c>
      <c r="B12" s="17" t="s">
        <v>94</v>
      </c>
      <c r="C12" s="18" t="n">
        <f aca="false">$C$9*US_Calc!B29/Inputs!$C$8</f>
        <v>0</v>
      </c>
      <c r="D12" s="18" t="n">
        <f aca="false">$C$9*US_Calc!B30/Inputs!$C$8</f>
        <v>0</v>
      </c>
      <c r="E12" s="19" t="n">
        <f aca="false">$C$9*MIN(PT_Calc!B19*$C$7*(1-US_Calc!B35),US_Calc!B34/Inputs!$C$8)</f>
        <v>0</v>
      </c>
      <c r="F12" s="19" t="n">
        <f aca="false">C12-E12+D12</f>
        <v>0</v>
      </c>
      <c r="G12" s="18" t="n">
        <f aca="false">PT_Calc!B19</f>
        <v>16797.848</v>
      </c>
      <c r="H12" s="19" t="n">
        <f aca="false">$C$9*MIN(C12*$C$8,G12*$C$8)</f>
        <v>0</v>
      </c>
      <c r="I12" s="19" t="n">
        <f aca="false">G12-H12</f>
        <v>16797.848</v>
      </c>
      <c r="J12" s="19" t="n">
        <f aca="false">$C$9*US_Calc!B31/Inputs!$C$8+PT_Calc!B20</f>
        <v>6600</v>
      </c>
      <c r="K12" s="20" t="n">
        <f aca="false">F12+I12+J12</f>
        <v>23397.848</v>
      </c>
      <c r="L12" s="21" t="n">
        <f aca="false">IF($C$5=0,0,K12/$C$5)</f>
        <v>0.349221611940299</v>
      </c>
      <c r="M12" s="17" t="str">
        <f aca="false">IF(ISNUMBER(K12),IF(K12=MIN($K$12:$K$15),"◄ lowest",""),"")</f>
        <v>◄ lowest</v>
      </c>
    </row>
    <row r="13" customFormat="false" ht="15" hidden="false" customHeight="false" outlineLevel="0" collapsed="false">
      <c r="A13" s="17" t="s">
        <v>93</v>
      </c>
      <c r="B13" s="17" t="s">
        <v>95</v>
      </c>
      <c r="C13" s="18" t="str">
        <f aca="false">IF(Inputs!$C$10="Yes",$C$9*US_Calc!B29/Inputs!$C$8,"n/a")</f>
        <v>n/a</v>
      </c>
      <c r="D13" s="18" t="str">
        <f aca="false">IF(Inputs!$C$10="Yes",$C$9*US_Calc!B30/Inputs!$C$8,"n/a")</f>
        <v>n/a</v>
      </c>
      <c r="E13" s="19" t="str">
        <f aca="false">IF(Inputs!$C$10="Yes",$C$9*MIN(PT_Calc!C19*(1-US_Calc!B35),US_Calc!B34/Inputs!$C$8),"n/a")</f>
        <v>n/a</v>
      </c>
      <c r="F13" s="19" t="str">
        <f aca="false">IF(Inputs!$C$10="Yes",C13-E13+D13,"n/a")</f>
        <v>n/a</v>
      </c>
      <c r="G13" s="18" t="str">
        <f aca="false">IF(Inputs!$C$10="Yes",PT_Calc!C19,"n/a")</f>
        <v>n/a</v>
      </c>
      <c r="H13" s="19" t="str">
        <f aca="false">IF(Inputs!$C$10="Yes",0,"n/a")</f>
        <v>n/a</v>
      </c>
      <c r="I13" s="19" t="str">
        <f aca="false">IF(Inputs!$C$10="Yes",G13-H13,"n/a")</f>
        <v>n/a</v>
      </c>
      <c r="J13" s="19" t="str">
        <f aca="false">IF(Inputs!$C$10="Yes",$C$9*US_Calc!B31/Inputs!$C$8+PT_Calc!C20,"n/a")</f>
        <v>n/a</v>
      </c>
      <c r="K13" s="20" t="str">
        <f aca="false">IF(Inputs!$C$10="Yes",F13+I13+J13,"n/a")</f>
        <v>n/a</v>
      </c>
      <c r="L13" s="21" t="str">
        <f aca="false">IF(Inputs!$C$10="Yes",IF($C$5=0,0,K13/$C$5),"n/a")</f>
        <v>n/a</v>
      </c>
      <c r="M13" s="17" t="str">
        <f aca="false">IF(ISNUMBER(K13),IF(K13=MIN($K$12:$K$15),"◄ lowest",""),"")</f>
        <v/>
      </c>
    </row>
    <row r="14" customFormat="false" ht="15" hidden="false" customHeight="false" outlineLevel="0" collapsed="false">
      <c r="A14" s="17" t="s">
        <v>96</v>
      </c>
      <c r="B14" s="17" t="s">
        <v>94</v>
      </c>
      <c r="C14" s="18" t="n">
        <f aca="false">$C$9*US_Calc!C29/Inputs!$C$8</f>
        <v>6711.73913043478</v>
      </c>
      <c r="D14" s="18" t="n">
        <f aca="false">$C$9*US_Calc!C30/Inputs!$C$8</f>
        <v>0</v>
      </c>
      <c r="E14" s="19" t="n">
        <f aca="false">$C$9*MIN(PT_Calc!B19*$C$7*(1-US_Calc!C35),US_Calc!C34/Inputs!$C$8)</f>
        <v>6010.5126541207</v>
      </c>
      <c r="F14" s="19" t="n">
        <f aca="false">C14-E14+D14</f>
        <v>701.226476314081</v>
      </c>
      <c r="G14" s="18" t="n">
        <f aca="false">PT_Calc!B19</f>
        <v>16797.848</v>
      </c>
      <c r="H14" s="19" t="n">
        <f aca="false">$C$9*MIN(C14*$C$8,G14*$C$8)</f>
        <v>701.226476314082</v>
      </c>
      <c r="I14" s="19" t="n">
        <f aca="false">G14-H14</f>
        <v>16096.6215236859</v>
      </c>
      <c r="J14" s="19" t="n">
        <f aca="false">$C$9*US_Calc!C31/Inputs!$C$8+PT_Calc!B20</f>
        <v>6600</v>
      </c>
      <c r="K14" s="20" t="n">
        <f aca="false">F14+I14+J14</f>
        <v>23397.848</v>
      </c>
      <c r="L14" s="21" t="n">
        <f aca="false">IF($C$5=0,0,K14/$C$5)</f>
        <v>0.349221611940299</v>
      </c>
      <c r="M14" s="17" t="str">
        <f aca="false">IF(ISNUMBER(K14),IF(K14=MIN($K$12:$K$15),"◄ lowest",""),"")</f>
        <v>◄ lowest</v>
      </c>
    </row>
    <row r="15" customFormat="false" ht="15" hidden="false" customHeight="false" outlineLevel="0" collapsed="false">
      <c r="A15" s="17" t="s">
        <v>96</v>
      </c>
      <c r="B15" s="17" t="s">
        <v>95</v>
      </c>
      <c r="C15" s="18" t="str">
        <f aca="false">IF(Inputs!$C$10="Yes",$C$9*US_Calc!C29/Inputs!$C$8,"n/a")</f>
        <v>n/a</v>
      </c>
      <c r="D15" s="18" t="str">
        <f aca="false">IF(Inputs!$C$10="Yes",$C$9*US_Calc!C30/Inputs!$C$8,"n/a")</f>
        <v>n/a</v>
      </c>
      <c r="E15" s="19" t="str">
        <f aca="false">IF(Inputs!$C$10="Yes",$C$9*MIN(PT_Calc!C19*(1-US_Calc!C35),US_Calc!C34/Inputs!$C$8),"n/a")</f>
        <v>n/a</v>
      </c>
      <c r="F15" s="19" t="str">
        <f aca="false">IF(Inputs!$C$10="Yes",C15-E15+D15,"n/a")</f>
        <v>n/a</v>
      </c>
      <c r="G15" s="18" t="str">
        <f aca="false">IF(Inputs!$C$10="Yes",PT_Calc!C19,"n/a")</f>
        <v>n/a</v>
      </c>
      <c r="H15" s="19" t="str">
        <f aca="false">IF(Inputs!$C$10="Yes",0,"n/a")</f>
        <v>n/a</v>
      </c>
      <c r="I15" s="19" t="str">
        <f aca="false">IF(Inputs!$C$10="Yes",G15-H15,"n/a")</f>
        <v>n/a</v>
      </c>
      <c r="J15" s="19" t="str">
        <f aca="false">IF(Inputs!$C$10="Yes",$C$9*US_Calc!C31/Inputs!$C$8+PT_Calc!C20,"n/a")</f>
        <v>n/a</v>
      </c>
      <c r="K15" s="20" t="str">
        <f aca="false">IF(Inputs!$C$10="Yes",F15+I15+J15,"n/a")</f>
        <v>n/a</v>
      </c>
      <c r="L15" s="21" t="str">
        <f aca="false">IF(Inputs!$C$10="Yes",IF($C$5=0,0,K15/$C$5),"n/a")</f>
        <v>n/a</v>
      </c>
      <c r="M15" s="17" t="str">
        <f aca="false">IF(ISNUMBER(K15),IF(K15=MIN($K$12:$K$15),"◄ lowest",""),"")</f>
        <v/>
      </c>
    </row>
    <row r="17" customFormat="false" ht="15" hidden="false" customHeight="false" outlineLevel="0" collapsed="false">
      <c r="A17" s="3" t="s">
        <v>97</v>
      </c>
      <c r="B17" s="4"/>
      <c r="C17" s="4"/>
      <c r="D17" s="4"/>
    </row>
    <row r="18" customFormat="false" ht="15" hidden="false" customHeight="false" outlineLevel="0" collapsed="false">
      <c r="A18" s="7" t="s">
        <v>98</v>
      </c>
      <c r="C18" s="22" t="str">
        <f aca="false">INDEX($A$12:$A$15,MATCH(MIN($K$12:$K$15),$K$12:$K$15,0))&amp;" + "&amp;INDEX($B$12:$B$15,MATCH(MIN($K$12:$K$15),$K$12:$K$15,0))</f>
        <v>FEIE + Standard</v>
      </c>
    </row>
    <row r="19" customFormat="false" ht="15" hidden="false" customHeight="false" outlineLevel="0" collapsed="false">
      <c r="A19" s="7" t="s">
        <v>99</v>
      </c>
      <c r="C19" s="23" t="n">
        <f aca="false">MIN($K$12:$K$15)</f>
        <v>23397.848</v>
      </c>
    </row>
    <row r="20" customFormat="false" ht="15" hidden="false" customHeight="false" outlineLevel="0" collapsed="false">
      <c r="A20" s="7" t="s">
        <v>100</v>
      </c>
      <c r="C20" s="13" t="n">
        <f aca="false">MAX($K$12:$K$15)</f>
        <v>23397.848</v>
      </c>
    </row>
    <row r="21" customFormat="false" ht="15" hidden="false" customHeight="false" outlineLevel="0" collapsed="false">
      <c r="A21" s="7" t="s">
        <v>101</v>
      </c>
      <c r="C21" s="23" t="n">
        <f aca="false">C20-C19</f>
        <v>0</v>
      </c>
    </row>
    <row r="22" customFormat="false" ht="15" hidden="false" customHeight="false" outlineLevel="0" collapsed="false">
      <c r="A22" s="7" t="s">
        <v>102</v>
      </c>
      <c r="C22" s="14" t="n">
        <f aca="false">IF(C5=0,0,C19/C5)</f>
        <v>0.349221611940299</v>
      </c>
    </row>
    <row r="24" customFormat="false" ht="15" hidden="false" customHeight="false" outlineLevel="0" collapsed="false">
      <c r="A24" s="3" t="s">
        <v>103</v>
      </c>
      <c r="B24" s="4"/>
      <c r="C24" s="4"/>
      <c r="D24" s="4"/>
    </row>
    <row r="25" customFormat="false" ht="15" hidden="false" customHeight="false" outlineLevel="0" collapsed="false">
      <c r="A25" s="7" t="s">
        <v>104</v>
      </c>
    </row>
    <row r="26" customFormat="false" ht="15" hidden="false" customHeight="false" outlineLevel="0" collapsed="false">
      <c r="A26" s="7" t="s">
        <v>105</v>
      </c>
    </row>
    <row r="27" customFormat="false" ht="15" hidden="false" customHeight="false" outlineLevel="0" collapsed="false">
      <c r="A27" s="7" t="s">
        <v>106</v>
      </c>
    </row>
    <row r="28" customFormat="false" ht="15" hidden="false" customHeight="false" outlineLevel="0" collapsed="false">
      <c r="A28" s="7" t="s">
        <v>107</v>
      </c>
    </row>
    <row r="29" customFormat="false" ht="15" hidden="false" customHeight="false" outlineLevel="0" collapsed="false">
      <c r="A29" s="7" t="s">
        <v>108</v>
      </c>
    </row>
  </sheetData>
  <conditionalFormatting sqref="A12:M15">
    <cfRule type="expression" priority="2" aboveAverage="0" equalAverage="0" bottom="0" percent="0" rank="0" text="" dxfId="0">
      <formula>$M12="◄ lowest"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16" t="s">
        <v>111</v>
      </c>
      <c r="B4" s="16" t="s">
        <v>112</v>
      </c>
      <c r="C4" s="16" t="s">
        <v>96</v>
      </c>
      <c r="D4" s="16" t="s">
        <v>113</v>
      </c>
    </row>
    <row r="5" customFormat="false" ht="15" hidden="false" customHeight="false" outlineLevel="0" collapsed="false">
      <c r="A5" s="7" t="s">
        <v>114</v>
      </c>
      <c r="B5" s="8" t="n">
        <v>1</v>
      </c>
      <c r="C5" s="8" t="n">
        <v>0</v>
      </c>
      <c r="D5" s="2" t="s">
        <v>115</v>
      </c>
    </row>
    <row r="6" customFormat="false" ht="15" hidden="false" customHeight="false" outlineLevel="0" collapsed="false">
      <c r="A6" s="7" t="s">
        <v>116</v>
      </c>
      <c r="B6" s="24" t="n">
        <f aca="false">Inputs!$C$12*Inputs!$C$8</f>
        <v>69000</v>
      </c>
      <c r="C6" s="24" t="n">
        <f aca="false">Inputs!$C$12*Inputs!$C$8</f>
        <v>69000</v>
      </c>
      <c r="D6" s="2" t="s">
        <v>117</v>
      </c>
    </row>
    <row r="7" customFormat="false" ht="15" hidden="false" customHeight="false" outlineLevel="0" collapsed="false">
      <c r="A7" s="7" t="s">
        <v>118</v>
      </c>
      <c r="B7" s="25" t="n">
        <f aca="false">MAX(0,Inputs!$C$13-Inputs!$C$14)*Inputs!$C$8</f>
        <v>0</v>
      </c>
      <c r="C7" s="25" t="n">
        <f aca="false">MAX(0,Inputs!$C$13-Inputs!$C$14)*Inputs!$C$8</f>
        <v>0</v>
      </c>
      <c r="D7" s="2" t="s">
        <v>119</v>
      </c>
    </row>
    <row r="8" customFormat="false" ht="15" hidden="false" customHeight="false" outlineLevel="0" collapsed="false">
      <c r="A8" s="7" t="s">
        <v>61</v>
      </c>
      <c r="B8" s="24" t="n">
        <f aca="false">Inputs!$C$15*Inputs!$C$8</f>
        <v>2300</v>
      </c>
      <c r="C8" s="24" t="n">
        <f aca="false">Inputs!$C$15*Inputs!$C$8</f>
        <v>2300</v>
      </c>
      <c r="D8" s="2"/>
    </row>
    <row r="9" customFormat="false" ht="15" hidden="false" customHeight="false" outlineLevel="0" collapsed="false">
      <c r="A9" s="7" t="s">
        <v>120</v>
      </c>
      <c r="B9" s="24" t="n">
        <f aca="false">Inputs!$C$16*Inputs!$C$8</f>
        <v>5750</v>
      </c>
      <c r="C9" s="24" t="n">
        <f aca="false">Inputs!$C$16*Inputs!$C$8</f>
        <v>5750</v>
      </c>
      <c r="D9" s="2"/>
    </row>
    <row r="10" customFormat="false" ht="15" hidden="false" customHeight="false" outlineLevel="0" collapsed="false">
      <c r="A10" s="7" t="s">
        <v>121</v>
      </c>
      <c r="B10" s="26" t="n">
        <f aca="false">IF(AND(Inputs!$C$9="US",Inputs!$C$7="Yes"),1,0)</f>
        <v>0</v>
      </c>
      <c r="C10" s="26" t="n">
        <f aca="false">IF(AND(Inputs!$C$9="US",Inputs!$C$7="Yes"),1,0)</f>
        <v>0</v>
      </c>
      <c r="D10" s="2" t="s">
        <v>122</v>
      </c>
    </row>
    <row r="11" customFormat="false" ht="15" hidden="false" customHeight="false" outlineLevel="0" collapsed="false">
      <c r="A11" s="7" t="s">
        <v>123</v>
      </c>
      <c r="B11" s="25" t="n">
        <f aca="false">B7*Params!$B$17</f>
        <v>0</v>
      </c>
      <c r="C11" s="25" t="n">
        <f aca="false">C7*Params!$B$17</f>
        <v>0</v>
      </c>
      <c r="D11" s="2"/>
    </row>
    <row r="12" customFormat="false" ht="15" hidden="false" customHeight="false" outlineLevel="0" collapsed="false">
      <c r="A12" s="7" t="s">
        <v>124</v>
      </c>
      <c r="B12" s="25" t="n">
        <f aca="false">B10*(MIN(B6,Params!$D$6)*Params!$B$13+B6*Params!$B$14)</f>
        <v>0</v>
      </c>
      <c r="C12" s="25" t="n">
        <f aca="false">C10*(MIN(C6,Params!$D$6)*Params!$B$13+C6*Params!$B$14)</f>
        <v>0</v>
      </c>
      <c r="D12" s="2" t="s">
        <v>125</v>
      </c>
    </row>
    <row r="13" customFormat="false" ht="15" hidden="false" customHeight="false" outlineLevel="0" collapsed="false">
      <c r="A13" s="7" t="s">
        <v>126</v>
      </c>
      <c r="B13" s="25" t="n">
        <f aca="false">B10*(MIN(B11,MAX(0,Params!$D$6-B6))*Params!$B$15+B11*Params!$B$16)</f>
        <v>0</v>
      </c>
      <c r="C13" s="25" t="n">
        <f aca="false">C10*(MIN(C11,MAX(0,Params!$D$6-C6))*Params!$B$15+C11*Params!$B$16)</f>
        <v>0</v>
      </c>
      <c r="D13" s="2" t="s">
        <v>127</v>
      </c>
    </row>
    <row r="14" customFormat="false" ht="15" hidden="false" customHeight="false" outlineLevel="0" collapsed="false">
      <c r="A14" s="7" t="s">
        <v>128</v>
      </c>
      <c r="B14" s="25" t="n">
        <f aca="false">B10*Params!$B$18*MAX(0,B6+B11-Params!$D$10)</f>
        <v>0</v>
      </c>
      <c r="C14" s="25" t="n">
        <f aca="false">C10*Params!$B$18*MAX(0,C6+C11-Params!$D$10)</f>
        <v>0</v>
      </c>
      <c r="D14" s="2" t="s">
        <v>129</v>
      </c>
    </row>
    <row r="15" customFormat="false" ht="15" hidden="false" customHeight="false" outlineLevel="0" collapsed="false">
      <c r="A15" s="7" t="s">
        <v>130</v>
      </c>
      <c r="B15" s="25" t="n">
        <f aca="false">0.5*B13</f>
        <v>0</v>
      </c>
      <c r="C15" s="25" t="n">
        <f aca="false">0.5*C13</f>
        <v>0</v>
      </c>
      <c r="D15" s="2"/>
    </row>
    <row r="16" customFormat="false" ht="15" hidden="false" customHeight="false" outlineLevel="0" collapsed="false">
      <c r="A16" s="7" t="s">
        <v>131</v>
      </c>
      <c r="B16" s="25" t="n">
        <f aca="false">(B6+B7)*Inputs!$C$17</f>
        <v>69000</v>
      </c>
      <c r="C16" s="25" t="n">
        <f aca="false">(C6+C7)*Inputs!$C$17</f>
        <v>69000</v>
      </c>
      <c r="D16" s="2" t="s">
        <v>132</v>
      </c>
    </row>
    <row r="17" customFormat="false" ht="15" hidden="false" customHeight="false" outlineLevel="0" collapsed="false">
      <c r="A17" s="7" t="s">
        <v>133</v>
      </c>
      <c r="B17" s="25" t="n">
        <f aca="false">B5*MIN(Params!$D$7,B16)</f>
        <v>69000</v>
      </c>
      <c r="C17" s="25" t="n">
        <f aca="false">C5*MIN(Params!$D$7,C16)</f>
        <v>0</v>
      </c>
      <c r="D17" s="2" t="s">
        <v>134</v>
      </c>
    </row>
    <row r="18" customFormat="false" ht="15" hidden="false" customHeight="false" outlineLevel="0" collapsed="false">
      <c r="A18" s="7" t="s">
        <v>135</v>
      </c>
      <c r="B18" s="25" t="n">
        <f aca="false">B6+B7+B8</f>
        <v>71300</v>
      </c>
      <c r="C18" s="25" t="n">
        <f aca="false">C6+C7+C8</f>
        <v>71300</v>
      </c>
      <c r="D18" s="2"/>
    </row>
    <row r="19" customFormat="false" ht="15" hidden="false" customHeight="false" outlineLevel="0" collapsed="false">
      <c r="A19" s="7" t="s">
        <v>136</v>
      </c>
      <c r="B19" s="25" t="n">
        <f aca="false">MAX(0,B18-B15-B17)</f>
        <v>2300</v>
      </c>
      <c r="C19" s="25" t="n">
        <f aca="false">MAX(0,C18-C15-C17)</f>
        <v>71300</v>
      </c>
      <c r="D19" s="2"/>
    </row>
    <row r="20" customFormat="false" ht="15" hidden="false" customHeight="false" outlineLevel="0" collapsed="false">
      <c r="A20" s="7" t="s">
        <v>137</v>
      </c>
      <c r="B20" s="25" t="n">
        <f aca="false">MAX(Params!$D$5,Inputs!$C$19*Inputs!$C$8)</f>
        <v>16100</v>
      </c>
      <c r="C20" s="25" t="n">
        <f aca="false">MAX(Params!$D$5,Inputs!$C$19*Inputs!$C$8)</f>
        <v>16100</v>
      </c>
      <c r="D20" s="2" t="s">
        <v>138</v>
      </c>
    </row>
    <row r="21" customFormat="false" ht="15" hidden="false" customHeight="false" outlineLevel="0" collapsed="false">
      <c r="A21" s="7" t="s">
        <v>139</v>
      </c>
      <c r="B21" s="25" t="n">
        <f aca="false">MAX(0,B19-B20)</f>
        <v>0</v>
      </c>
      <c r="C21" s="25" t="n">
        <f aca="false">MAX(0,C19-C20)</f>
        <v>55200</v>
      </c>
      <c r="D21" s="2"/>
    </row>
    <row r="22" customFormat="false" ht="15" hidden="false" customHeight="false" outlineLevel="0" collapsed="false">
      <c r="A22" s="7" t="s">
        <v>140</v>
      </c>
      <c r="B22" s="25" t="n">
        <f aca="false">MAX(0,B19+B9-B20)</f>
        <v>0</v>
      </c>
      <c r="C22" s="25" t="n">
        <f aca="false">MAX(0,C19+C9-C20)</f>
        <v>60950</v>
      </c>
      <c r="D22" s="2"/>
    </row>
    <row r="23" customFormat="false" ht="15" hidden="false" customHeight="false" outlineLevel="0" collapsed="false">
      <c r="A23" s="7" t="s">
        <v>141</v>
      </c>
      <c r="B23" s="25" t="n">
        <f aca="false">B22-B21</f>
        <v>0</v>
      </c>
      <c r="C23" s="25" t="n">
        <f aca="false">C22-C21</f>
        <v>5750</v>
      </c>
      <c r="D23" s="2"/>
    </row>
    <row r="24" customFormat="false" ht="15" hidden="false" customHeight="false" outlineLevel="0" collapsed="false">
      <c r="A24" s="7" t="s">
        <v>142</v>
      </c>
      <c r="B24" s="25" t="n">
        <f aca="false">IF(Inputs!$C$6="Single",SUMPRODUCT(((B21+B17)&gt;Params!$A$25:$A$31)*((B21+B17)-Params!$A$25:$A$31)*Params!$C$25:$C$31),SUMPRODUCT(((B21+B17)&gt;Params!$E$25:$E$31)*((B21+B17)-Params!$E$25:$E$31)*Params!$G$25:$G$31))-IF(Inputs!$C$6="Single",SUMPRODUCT((B17&gt;Params!$A$25:$A$31)*(B17-Params!$A$25:$A$31)*Params!$C$25:$C$31),SUMPRODUCT((B17&gt;Params!$E$25:$E$31)*(B17-Params!$E$25:$E$31)*Params!$G$25:$G$31))</f>
        <v>0</v>
      </c>
      <c r="C24" s="25" t="n">
        <f aca="false">IF(Inputs!$C$6="Single",SUMPRODUCT(((C21+C17)&gt;Params!$A$25:$A$31)*((C21+C17)-Params!$A$25:$A$31)*Params!$C$25:$C$31),SUMPRODUCT(((C21+C17)&gt;Params!$E$25:$E$31)*((C21+C17)-Params!$E$25:$E$31)*Params!$G$25:$G$31))-IF(Inputs!$C$6="Single",SUMPRODUCT((C17&gt;Params!$A$25:$A$31)*(C17-Params!$A$25:$A$31)*Params!$C$25:$C$31),SUMPRODUCT((C17&gt;Params!$E$25:$E$31)*(C17-Params!$E$25:$E$31)*Params!$G$25:$G$31))</f>
        <v>6856</v>
      </c>
      <c r="D24" s="2" t="s">
        <v>143</v>
      </c>
    </row>
    <row r="25" customFormat="false" ht="15" hidden="false" customHeight="false" outlineLevel="0" collapsed="false">
      <c r="A25" s="7" t="s">
        <v>144</v>
      </c>
      <c r="B25" s="25" t="n">
        <f aca="false">MAX(0,MIN(B23,Params!$D$8-B21))</f>
        <v>0</v>
      </c>
      <c r="C25" s="25" t="n">
        <f aca="false">MAX(0,MIN(C23,Params!$D$8-C21))</f>
        <v>0</v>
      </c>
      <c r="D25" s="2"/>
    </row>
    <row r="26" customFormat="false" ht="15" hidden="false" customHeight="false" outlineLevel="0" collapsed="false">
      <c r="A26" s="7" t="s">
        <v>145</v>
      </c>
      <c r="B26" s="25" t="n">
        <f aca="false">MAX(0,MIN(B23-B25,Params!$D$9-(B21+B25)))</f>
        <v>0</v>
      </c>
      <c r="C26" s="25" t="n">
        <f aca="false">MAX(0,MIN(C23-C25,Params!$D$9-(C21+C25)))</f>
        <v>5750</v>
      </c>
      <c r="D26" s="2"/>
    </row>
    <row r="27" customFormat="false" ht="15" hidden="false" customHeight="false" outlineLevel="0" collapsed="false">
      <c r="A27" s="7" t="s">
        <v>146</v>
      </c>
      <c r="B27" s="25" t="n">
        <f aca="false">B23-B25-B26</f>
        <v>0</v>
      </c>
      <c r="C27" s="25" t="n">
        <f aca="false">C23-C25-C26</f>
        <v>0</v>
      </c>
      <c r="D27" s="2"/>
    </row>
    <row r="28" customFormat="false" ht="15" hidden="false" customHeight="false" outlineLevel="0" collapsed="false">
      <c r="A28" s="7" t="s">
        <v>147</v>
      </c>
      <c r="B28" s="25" t="n">
        <f aca="false">B26*Params!$B$20+B27*Params!$B$21</f>
        <v>0</v>
      </c>
      <c r="C28" s="25" t="n">
        <f aca="false">C26*Params!$B$20+C27*Params!$B$21</f>
        <v>862.5</v>
      </c>
      <c r="D28" s="2"/>
    </row>
    <row r="29" customFormat="false" ht="15" hidden="false" customHeight="false" outlineLevel="0" collapsed="false">
      <c r="A29" s="22" t="s">
        <v>148</v>
      </c>
      <c r="B29" s="25" t="n">
        <f aca="false">B24+B28</f>
        <v>0</v>
      </c>
      <c r="C29" s="25" t="n">
        <f aca="false">C24+C28</f>
        <v>7718.5</v>
      </c>
      <c r="D29" s="2"/>
    </row>
    <row r="30" customFormat="false" ht="15" hidden="false" customHeight="false" outlineLevel="0" collapsed="false">
      <c r="A30" s="7" t="s">
        <v>149</v>
      </c>
      <c r="B30" s="25" t="n">
        <f aca="false">Params!$B$19*MIN(B8+B9,MAX(0,B18-B15+B9-Params!$D$10))</f>
        <v>0</v>
      </c>
      <c r="C30" s="25" t="n">
        <f aca="false">Params!$B$19*MIN(C8+C9,MAX(0,C18-C15+C9-Params!$D$10))</f>
        <v>0</v>
      </c>
      <c r="D30" s="2" t="s">
        <v>150</v>
      </c>
    </row>
    <row r="31" customFormat="false" ht="15" hidden="false" customHeight="false" outlineLevel="0" collapsed="false">
      <c r="A31" s="7" t="s">
        <v>151</v>
      </c>
      <c r="B31" s="25" t="n">
        <f aca="false">B12+B13+B14</f>
        <v>0</v>
      </c>
      <c r="C31" s="25" t="n">
        <f aca="false">C12+C13+C14</f>
        <v>0</v>
      </c>
      <c r="D31" s="2"/>
    </row>
    <row r="32" customFormat="false" ht="15" hidden="false" customHeight="false" outlineLevel="0" collapsed="false">
      <c r="A32" s="7" t="s">
        <v>152</v>
      </c>
      <c r="B32" s="25" t="n">
        <f aca="false">MAX(0,(B6+B7)*Inputs!$C$17-B17+(B8+B9)*Inputs!$C$18)</f>
        <v>0</v>
      </c>
      <c r="C32" s="25" t="n">
        <f aca="false">MAX(0,(C6+C7)*Inputs!$C$17-C17+(C8+C9)*Inputs!$C$18)</f>
        <v>69000</v>
      </c>
      <c r="D32" s="2" t="s">
        <v>153</v>
      </c>
    </row>
    <row r="33" customFormat="false" ht="15" hidden="false" customHeight="false" outlineLevel="0" collapsed="false">
      <c r="A33" s="7" t="s">
        <v>154</v>
      </c>
      <c r="B33" s="25" t="n">
        <f aca="false">B19+B9</f>
        <v>8050</v>
      </c>
      <c r="C33" s="25" t="n">
        <f aca="false">C19+C9</f>
        <v>77050</v>
      </c>
      <c r="D33" s="2"/>
    </row>
    <row r="34" customFormat="false" ht="15" hidden="false" customHeight="false" outlineLevel="0" collapsed="false">
      <c r="A34" s="7" t="s">
        <v>155</v>
      </c>
      <c r="B34" s="25" t="n">
        <f aca="false">IF(B33=0,0,B29*MIN(1,B32/B33))</f>
        <v>0</v>
      </c>
      <c r="C34" s="25" t="n">
        <f aca="false">IF(C33=0,0,C29*MIN(1,C32/C33))</f>
        <v>6912.08955223881</v>
      </c>
      <c r="D34" s="2" t="s">
        <v>156</v>
      </c>
    </row>
    <row r="35" customFormat="false" ht="15" hidden="false" customHeight="false" outlineLevel="0" collapsed="false">
      <c r="A35" s="7" t="s">
        <v>157</v>
      </c>
      <c r="B35" s="21" t="n">
        <f aca="false">IF(B16=0,0,B17/B16)</f>
        <v>1</v>
      </c>
      <c r="C35" s="21" t="n">
        <f aca="false">IF(C16=0,0,C17/C16)</f>
        <v>0</v>
      </c>
      <c r="D35" s="2" t="s">
        <v>158</v>
      </c>
    </row>
    <row r="36" customFormat="false" ht="15" hidden="false" customHeight="false" outlineLevel="0" collapsed="false">
      <c r="A36" s="22" t="s">
        <v>159</v>
      </c>
      <c r="B36" s="25" t="n">
        <f aca="false">B29+B30+B31</f>
        <v>0</v>
      </c>
      <c r="C36" s="25" t="n">
        <f aca="false">C29+C30+C31</f>
        <v>7718.5</v>
      </c>
      <c r="D36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75"/>
  </cols>
  <sheetData>
    <row r="1" customFormat="false" ht="19.7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16" t="s">
        <v>111</v>
      </c>
      <c r="B4" s="16" t="s">
        <v>163</v>
      </c>
      <c r="C4" s="16" t="s">
        <v>164</v>
      </c>
      <c r="D4" s="16" t="s">
        <v>113</v>
      </c>
    </row>
    <row r="5" customFormat="false" ht="15" hidden="false" customHeight="false" outlineLevel="0" collapsed="false">
      <c r="A5" s="7" t="s">
        <v>165</v>
      </c>
      <c r="B5" s="26" t="n">
        <f aca="false">IF(Inputs!$C$9="Portugal",1,0)</f>
        <v>1</v>
      </c>
      <c r="C5" s="26" t="n">
        <f aca="false">IF(Inputs!$C$9="Portugal",1,0)</f>
        <v>1</v>
      </c>
      <c r="D5" s="2" t="s">
        <v>122</v>
      </c>
    </row>
    <row r="6" customFormat="false" ht="15" hidden="false" customHeight="false" outlineLevel="0" collapsed="false">
      <c r="A6" s="7" t="s">
        <v>166</v>
      </c>
      <c r="B6" s="19" t="n">
        <f aca="false">Inputs!$C$12</f>
        <v>60000</v>
      </c>
      <c r="C6" s="19" t="n">
        <f aca="false">Inputs!$C$12</f>
        <v>60000</v>
      </c>
      <c r="D6" s="2"/>
    </row>
    <row r="7" customFormat="false" ht="15" hidden="false" customHeight="false" outlineLevel="0" collapsed="false">
      <c r="A7" s="7" t="s">
        <v>167</v>
      </c>
      <c r="B7" s="19" t="n">
        <f aca="false">B5*Params!$B$35*B6</f>
        <v>6600</v>
      </c>
      <c r="C7" s="19" t="n">
        <f aca="false">C5*Params!$B$35*C6</f>
        <v>6600</v>
      </c>
      <c r="D7" s="2"/>
    </row>
    <row r="8" customFormat="false" ht="15" hidden="false" customHeight="false" outlineLevel="0" collapsed="false">
      <c r="A8" s="7" t="s">
        <v>168</v>
      </c>
      <c r="B8" s="19" t="n">
        <f aca="false">IF(B6&gt;0,MIN(B6,MAX(Params!$B$34,B7)),0)</f>
        <v>6600</v>
      </c>
      <c r="C8" s="19" t="n">
        <f aca="false">IF(C6&gt;0,MIN(C6,MAX(Params!$B$34,C7)),0)</f>
        <v>6600</v>
      </c>
      <c r="D8" s="2" t="s">
        <v>169</v>
      </c>
    </row>
    <row r="9" customFormat="false" ht="15" hidden="false" customHeight="false" outlineLevel="0" collapsed="false">
      <c r="A9" s="7" t="s">
        <v>170</v>
      </c>
      <c r="B9" s="19" t="n">
        <f aca="false">B6-B8</f>
        <v>53400</v>
      </c>
      <c r="C9" s="19" t="n">
        <f aca="false">C6-C8</f>
        <v>53400</v>
      </c>
      <c r="D9" s="2"/>
    </row>
    <row r="10" customFormat="false" ht="15" hidden="false" customHeight="false" outlineLevel="0" collapsed="false">
      <c r="A10" s="7" t="s">
        <v>171</v>
      </c>
      <c r="B10" s="19" t="n">
        <f aca="false">Inputs!$C$13</f>
        <v>0</v>
      </c>
      <c r="C10" s="19" t="n">
        <f aca="false">Inputs!$C$13</f>
        <v>0</v>
      </c>
      <c r="D10" s="2"/>
    </row>
    <row r="11" customFormat="false" ht="15" hidden="false" customHeight="false" outlineLevel="0" collapsed="false">
      <c r="A11" s="7" t="s">
        <v>172</v>
      </c>
      <c r="B11" s="19" t="n">
        <f aca="false">B10*Params!$B$38</f>
        <v>0</v>
      </c>
      <c r="C11" s="19" t="n">
        <f aca="false">C10*Params!$B$38</f>
        <v>0</v>
      </c>
      <c r="D11" s="2" t="s">
        <v>173</v>
      </c>
    </row>
    <row r="12" customFormat="false" ht="15" hidden="false" customHeight="false" outlineLevel="0" collapsed="false">
      <c r="A12" s="7" t="s">
        <v>174</v>
      </c>
      <c r="B12" s="19" t="n">
        <f aca="false">B5*Params!$B$36*Params!$B$37*B10</f>
        <v>0</v>
      </c>
      <c r="C12" s="19" t="n">
        <f aca="false">C5*Params!$B$36*Params!$B$37*C10</f>
        <v>0</v>
      </c>
      <c r="D12" s="2" t="s">
        <v>175</v>
      </c>
    </row>
    <row r="13" customFormat="false" ht="15" hidden="false" customHeight="false" outlineLevel="0" collapsed="false">
      <c r="A13" s="7" t="s">
        <v>176</v>
      </c>
      <c r="B13" s="19" t="n">
        <f aca="false">B9+B11</f>
        <v>53400</v>
      </c>
      <c r="C13" s="19" t="n">
        <f aca="false">(C9+C11)*Inputs!$C$17</f>
        <v>53400</v>
      </c>
      <c r="D13" s="2" t="s">
        <v>177</v>
      </c>
    </row>
    <row r="14" customFormat="false" ht="15" hidden="false" customHeight="false" outlineLevel="0" collapsed="false">
      <c r="A14" s="7" t="s">
        <v>178</v>
      </c>
      <c r="B14" s="19" t="n">
        <f aca="false">IF(Inputs!$C$6="Single",SUMPRODUCT((B13&gt;Params!$A$49:$A$57)*(B13-Params!$A$49:$A$57)*Params!$C$49:$C$57),2*SUMPRODUCT(((B13)/2&gt;Params!$A$49:$A$57)*((B13)/2-Params!$A$49:$A$57)*Params!$C$49:$C$57))</f>
        <v>15437.848</v>
      </c>
      <c r="C14" s="19" t="n">
        <f aca="false">C13*Params!$B$41</f>
        <v>10680</v>
      </c>
      <c r="D14" s="2" t="s">
        <v>179</v>
      </c>
    </row>
    <row r="15" customFormat="false" ht="15" hidden="false" customHeight="false" outlineLevel="0" collapsed="false">
      <c r="A15" s="7" t="s">
        <v>180</v>
      </c>
      <c r="B15" s="19" t="n">
        <f aca="false">IF(Inputs!$C$6="Single",1,2)*(Params!$B$43*MAX(0,MIN((B13/IF(Inputs!$C$6="Single",1,2)),Params!$B$44)-Params!$B$42)+Params!$B$45*MAX(0,(B13/IF(Inputs!$C$6="Single",1,2))-Params!$B$44))</f>
        <v>0</v>
      </c>
      <c r="C15" s="19" t="n">
        <f aca="false">0</f>
        <v>0</v>
      </c>
      <c r="D15" s="2" t="s">
        <v>181</v>
      </c>
    </row>
    <row r="16" customFormat="false" ht="15" hidden="false" customHeight="false" outlineLevel="0" collapsed="false">
      <c r="A16" s="7" t="s">
        <v>182</v>
      </c>
      <c r="B16" s="19" t="n">
        <f aca="false">MIN(B14,Params!$B$39*IF(Inputs!$C$6="Single",1,2)+Inputs!$C$20)</f>
        <v>600</v>
      </c>
      <c r="C16" s="19" t="n">
        <f aca="false">0</f>
        <v>0</v>
      </c>
      <c r="D16" s="2" t="s">
        <v>183</v>
      </c>
    </row>
    <row r="17" customFormat="false" ht="15" hidden="false" customHeight="false" outlineLevel="0" collapsed="false">
      <c r="A17" s="7" t="s">
        <v>184</v>
      </c>
      <c r="B17" s="19" t="n">
        <f aca="false">Inputs!$C$15+Inputs!$C$16</f>
        <v>7000</v>
      </c>
      <c r="C17" s="19" t="n">
        <f aca="false">(Inputs!$C$15+Inputs!$C$16)*Inputs!$C$18</f>
        <v>0</v>
      </c>
      <c r="D17" s="2" t="s">
        <v>185</v>
      </c>
    </row>
    <row r="18" customFormat="false" ht="15" hidden="false" customHeight="false" outlineLevel="0" collapsed="false">
      <c r="A18" s="7" t="s">
        <v>186</v>
      </c>
      <c r="B18" s="19" t="n">
        <f aca="false">B17*Params!$B$40</f>
        <v>1960</v>
      </c>
      <c r="C18" s="19" t="n">
        <f aca="false">C17*Params!$B$40</f>
        <v>0</v>
      </c>
      <c r="D18" s="2" t="s">
        <v>187</v>
      </c>
    </row>
    <row r="19" customFormat="false" ht="15" hidden="false" customHeight="false" outlineLevel="0" collapsed="false">
      <c r="A19" s="22" t="s">
        <v>188</v>
      </c>
      <c r="B19" s="19" t="n">
        <f aca="false">B14-B16+B15+B18</f>
        <v>16797.848</v>
      </c>
      <c r="C19" s="19" t="n">
        <f aca="false">C14-C16+C15+C18</f>
        <v>10680</v>
      </c>
      <c r="D19" s="2"/>
    </row>
    <row r="20" customFormat="false" ht="15" hidden="false" customHeight="false" outlineLevel="0" collapsed="false">
      <c r="A20" s="7" t="s">
        <v>189</v>
      </c>
      <c r="B20" s="19" t="n">
        <f aca="false">B7+B12</f>
        <v>6600</v>
      </c>
      <c r="C20" s="19" t="n">
        <f aca="false">C7+C12</f>
        <v>6600</v>
      </c>
      <c r="D20" s="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7" min="6" style="0" width="10"/>
  </cols>
  <sheetData>
    <row r="1" customFormat="false" ht="19.7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3" customFormat="false" ht="15" hidden="false" customHeight="false" outlineLevel="0" collapsed="false">
      <c r="A3" s="3" t="s">
        <v>193</v>
      </c>
      <c r="B3" s="4"/>
      <c r="C3" s="4"/>
      <c r="D3" s="4"/>
      <c r="E3" s="4"/>
    </row>
    <row r="4" customFormat="false" ht="15" hidden="false" customHeight="false" outlineLevel="0" collapsed="false">
      <c r="A4" s="16" t="s">
        <v>194</v>
      </c>
      <c r="B4" s="16" t="s">
        <v>42</v>
      </c>
      <c r="C4" s="16" t="s">
        <v>195</v>
      </c>
      <c r="D4" s="16" t="s">
        <v>196</v>
      </c>
      <c r="E4" s="16" t="s">
        <v>113</v>
      </c>
    </row>
    <row r="5" customFormat="false" ht="15" hidden="false" customHeight="false" outlineLevel="0" collapsed="false">
      <c r="A5" s="7" t="s">
        <v>197</v>
      </c>
      <c r="B5" s="27" t="n">
        <v>16100</v>
      </c>
      <c r="C5" s="27" t="n">
        <v>32200</v>
      </c>
      <c r="D5" s="28" t="n">
        <f aca="false">IF(Inputs!$C$6="Single",B5,C5)</f>
        <v>16100</v>
      </c>
      <c r="E5" s="2" t="s">
        <v>198</v>
      </c>
    </row>
    <row r="6" customFormat="false" ht="15" hidden="false" customHeight="false" outlineLevel="0" collapsed="false">
      <c r="A6" s="7" t="s">
        <v>199</v>
      </c>
      <c r="B6" s="27" t="n">
        <v>184500</v>
      </c>
      <c r="C6" s="27" t="n">
        <v>184500</v>
      </c>
      <c r="D6" s="28" t="n">
        <f aca="false">IF(Inputs!$C$6="Single",B6,C6)</f>
        <v>184500</v>
      </c>
      <c r="E6" s="2" t="s">
        <v>200</v>
      </c>
    </row>
    <row r="7" customFormat="false" ht="15" hidden="false" customHeight="false" outlineLevel="0" collapsed="false">
      <c r="A7" s="7" t="s">
        <v>201</v>
      </c>
      <c r="B7" s="27" t="n">
        <v>132900</v>
      </c>
      <c r="C7" s="27" t="n">
        <v>132900</v>
      </c>
      <c r="D7" s="28" t="n">
        <f aca="false">IF(Inputs!$C$6="Single",B7,C7)</f>
        <v>132900</v>
      </c>
      <c r="E7" s="2" t="s">
        <v>202</v>
      </c>
    </row>
    <row r="8" customFormat="false" ht="15" hidden="false" customHeight="false" outlineLevel="0" collapsed="false">
      <c r="A8" s="7" t="s">
        <v>203</v>
      </c>
      <c r="B8" s="27" t="n">
        <v>49450</v>
      </c>
      <c r="C8" s="27" t="n">
        <v>98900</v>
      </c>
      <c r="D8" s="28" t="n">
        <f aca="false">IF(Inputs!$C$6="Single",B8,C8)</f>
        <v>49450</v>
      </c>
      <c r="E8" s="2" t="s">
        <v>198</v>
      </c>
    </row>
    <row r="9" customFormat="false" ht="15" hidden="false" customHeight="false" outlineLevel="0" collapsed="false">
      <c r="A9" s="7" t="s">
        <v>204</v>
      </c>
      <c r="B9" s="27" t="n">
        <v>545500</v>
      </c>
      <c r="C9" s="27" t="n">
        <v>613700</v>
      </c>
      <c r="D9" s="28" t="n">
        <f aca="false">IF(Inputs!$C$6="Single",B9,C9)</f>
        <v>545500</v>
      </c>
      <c r="E9" s="2" t="s">
        <v>198</v>
      </c>
    </row>
    <row r="10" customFormat="false" ht="15" hidden="false" customHeight="false" outlineLevel="0" collapsed="false">
      <c r="A10" s="7" t="s">
        <v>205</v>
      </c>
      <c r="B10" s="27" t="n">
        <v>200000</v>
      </c>
      <c r="C10" s="27" t="n">
        <v>250000</v>
      </c>
      <c r="D10" s="28" t="n">
        <f aca="false">IF(Inputs!$C$6="Single",B10,C10)</f>
        <v>200000</v>
      </c>
      <c r="E10" s="2" t="s">
        <v>206</v>
      </c>
    </row>
    <row r="12" customFormat="false" ht="15" hidden="false" customHeight="false" outlineLevel="0" collapsed="false">
      <c r="A12" s="3" t="s">
        <v>207</v>
      </c>
      <c r="B12" s="4"/>
      <c r="C12" s="4"/>
      <c r="D12" s="4"/>
      <c r="E12" s="4"/>
    </row>
    <row r="13" customFormat="false" ht="15" hidden="false" customHeight="false" outlineLevel="0" collapsed="false">
      <c r="A13" s="7" t="s">
        <v>208</v>
      </c>
      <c r="B13" s="29" t="n">
        <v>0.062</v>
      </c>
    </row>
    <row r="14" customFormat="false" ht="15" hidden="false" customHeight="false" outlineLevel="0" collapsed="false">
      <c r="A14" s="7" t="s">
        <v>209</v>
      </c>
      <c r="B14" s="29" t="n">
        <v>0.0145</v>
      </c>
    </row>
    <row r="15" customFormat="false" ht="15" hidden="false" customHeight="false" outlineLevel="0" collapsed="false">
      <c r="A15" s="7" t="s">
        <v>210</v>
      </c>
      <c r="B15" s="29" t="n">
        <v>0.124</v>
      </c>
    </row>
    <row r="16" customFormat="false" ht="15" hidden="false" customHeight="false" outlineLevel="0" collapsed="false">
      <c r="A16" s="7" t="s">
        <v>211</v>
      </c>
      <c r="B16" s="29" t="n">
        <v>0.029</v>
      </c>
    </row>
    <row r="17" customFormat="false" ht="15" hidden="false" customHeight="false" outlineLevel="0" collapsed="false">
      <c r="A17" s="7" t="s">
        <v>212</v>
      </c>
      <c r="B17" s="29" t="n">
        <v>0.9235</v>
      </c>
    </row>
    <row r="18" customFormat="false" ht="15" hidden="false" customHeight="false" outlineLevel="0" collapsed="false">
      <c r="A18" s="7" t="s">
        <v>128</v>
      </c>
      <c r="B18" s="29" t="n">
        <v>0.009</v>
      </c>
    </row>
    <row r="19" customFormat="false" ht="15" hidden="false" customHeight="false" outlineLevel="0" collapsed="false">
      <c r="A19" s="7" t="s">
        <v>149</v>
      </c>
      <c r="B19" s="29" t="n">
        <v>0.038</v>
      </c>
    </row>
    <row r="20" customFormat="false" ht="15" hidden="false" customHeight="false" outlineLevel="0" collapsed="false">
      <c r="A20" s="7" t="s">
        <v>213</v>
      </c>
      <c r="B20" s="29" t="n">
        <v>0.15</v>
      </c>
    </row>
    <row r="21" customFormat="false" ht="15" hidden="false" customHeight="false" outlineLevel="0" collapsed="false">
      <c r="A21" s="7" t="s">
        <v>214</v>
      </c>
      <c r="B21" s="29" t="n">
        <v>0.2</v>
      </c>
    </row>
    <row r="23" customFormat="false" ht="15" hidden="false" customHeight="false" outlineLevel="0" collapsed="false">
      <c r="A23" s="3" t="s">
        <v>215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16" t="s">
        <v>216</v>
      </c>
      <c r="B24" s="16" t="s">
        <v>217</v>
      </c>
      <c r="C24" s="16" t="s">
        <v>218</v>
      </c>
      <c r="D24" s="16"/>
      <c r="E24" s="16" t="s">
        <v>219</v>
      </c>
      <c r="F24" s="16" t="s">
        <v>217</v>
      </c>
      <c r="G24" s="16" t="s">
        <v>218</v>
      </c>
    </row>
    <row r="25" customFormat="false" ht="15" hidden="false" customHeight="false" outlineLevel="0" collapsed="false">
      <c r="A25" s="27" t="n">
        <v>0</v>
      </c>
      <c r="B25" s="30" t="n">
        <v>0.1</v>
      </c>
      <c r="C25" s="31" t="n">
        <f aca="false">B25</f>
        <v>0.1</v>
      </c>
      <c r="E25" s="27" t="n">
        <v>0</v>
      </c>
      <c r="F25" s="30" t="n">
        <v>0.1</v>
      </c>
      <c r="G25" s="31" t="n">
        <f aca="false">F25</f>
        <v>0.1</v>
      </c>
    </row>
    <row r="26" customFormat="false" ht="15" hidden="false" customHeight="false" outlineLevel="0" collapsed="false">
      <c r="A26" s="27" t="n">
        <v>12400</v>
      </c>
      <c r="B26" s="30" t="n">
        <v>0.12</v>
      </c>
      <c r="C26" s="31" t="n">
        <f aca="false">B26-B25</f>
        <v>0.02</v>
      </c>
      <c r="E26" s="27" t="n">
        <v>24800</v>
      </c>
      <c r="F26" s="30" t="n">
        <v>0.12</v>
      </c>
      <c r="G26" s="31" t="n">
        <f aca="false">F26-F25</f>
        <v>0.02</v>
      </c>
    </row>
    <row r="27" customFormat="false" ht="15" hidden="false" customHeight="false" outlineLevel="0" collapsed="false">
      <c r="A27" s="27" t="n">
        <v>50400</v>
      </c>
      <c r="B27" s="30" t="n">
        <v>0.22</v>
      </c>
      <c r="C27" s="31" t="n">
        <f aca="false">B27-B26</f>
        <v>0.1</v>
      </c>
      <c r="E27" s="27" t="n">
        <v>100800</v>
      </c>
      <c r="F27" s="30" t="n">
        <v>0.22</v>
      </c>
      <c r="G27" s="31" t="n">
        <f aca="false">F27-F26</f>
        <v>0.1</v>
      </c>
    </row>
    <row r="28" customFormat="false" ht="15" hidden="false" customHeight="false" outlineLevel="0" collapsed="false">
      <c r="A28" s="27" t="n">
        <v>105700</v>
      </c>
      <c r="B28" s="30" t="n">
        <v>0.24</v>
      </c>
      <c r="C28" s="31" t="n">
        <f aca="false">B28-B27</f>
        <v>0.02</v>
      </c>
      <c r="E28" s="27" t="n">
        <v>211400</v>
      </c>
      <c r="F28" s="30" t="n">
        <v>0.24</v>
      </c>
      <c r="G28" s="31" t="n">
        <f aca="false">F28-F27</f>
        <v>0.02</v>
      </c>
    </row>
    <row r="29" customFormat="false" ht="15" hidden="false" customHeight="false" outlineLevel="0" collapsed="false">
      <c r="A29" s="27" t="n">
        <v>201775</v>
      </c>
      <c r="B29" s="30" t="n">
        <v>0.32</v>
      </c>
      <c r="C29" s="31" t="n">
        <f aca="false">B29-B28</f>
        <v>0.08</v>
      </c>
      <c r="E29" s="27" t="n">
        <v>403550</v>
      </c>
      <c r="F29" s="30" t="n">
        <v>0.32</v>
      </c>
      <c r="G29" s="31" t="n">
        <f aca="false">F29-F28</f>
        <v>0.08</v>
      </c>
    </row>
    <row r="30" customFormat="false" ht="15" hidden="false" customHeight="false" outlineLevel="0" collapsed="false">
      <c r="A30" s="27" t="n">
        <v>256225</v>
      </c>
      <c r="B30" s="30" t="n">
        <v>0.35</v>
      </c>
      <c r="C30" s="31" t="n">
        <f aca="false">B30-B29</f>
        <v>0.03</v>
      </c>
      <c r="E30" s="27" t="n">
        <v>512450</v>
      </c>
      <c r="F30" s="30" t="n">
        <v>0.35</v>
      </c>
      <c r="G30" s="31" t="n">
        <f aca="false">F30-F29</f>
        <v>0.03</v>
      </c>
    </row>
    <row r="31" customFormat="false" ht="15" hidden="false" customHeight="false" outlineLevel="0" collapsed="false">
      <c r="A31" s="27" t="n">
        <v>640600</v>
      </c>
      <c r="B31" s="30" t="n">
        <v>0.37</v>
      </c>
      <c r="C31" s="31" t="n">
        <f aca="false">B31-B30</f>
        <v>0.02</v>
      </c>
      <c r="E31" s="27" t="n">
        <v>768700</v>
      </c>
      <c r="F31" s="30" t="n">
        <v>0.37</v>
      </c>
      <c r="G31" s="31" t="n">
        <f aca="false">F31-F30</f>
        <v>0.02</v>
      </c>
    </row>
    <row r="33" customFormat="false" ht="15" hidden="false" customHeight="false" outlineLevel="0" collapsed="false">
      <c r="A33" s="3" t="s">
        <v>220</v>
      </c>
      <c r="B33" s="4"/>
      <c r="C33" s="4"/>
      <c r="D33" s="4"/>
      <c r="E33" s="4"/>
    </row>
    <row r="34" customFormat="false" ht="15" hidden="false" customHeight="false" outlineLevel="0" collapsed="false">
      <c r="A34" s="7" t="s">
        <v>221</v>
      </c>
      <c r="B34" s="32" t="n">
        <v>4350</v>
      </c>
      <c r="E34" s="2" t="s">
        <v>222</v>
      </c>
    </row>
    <row r="35" customFormat="false" ht="15" hidden="false" customHeight="false" outlineLevel="0" collapsed="false">
      <c r="A35" s="7" t="s">
        <v>223</v>
      </c>
      <c r="B35" s="33" t="n">
        <v>0.11</v>
      </c>
      <c r="E35" s="2" t="s">
        <v>224</v>
      </c>
    </row>
    <row r="36" customFormat="false" ht="15" hidden="false" customHeight="false" outlineLevel="0" collapsed="false">
      <c r="A36" s="7" t="s">
        <v>225</v>
      </c>
      <c r="B36" s="33" t="n">
        <v>0.214</v>
      </c>
      <c r="E36" s="2" t="s">
        <v>226</v>
      </c>
    </row>
    <row r="37" customFormat="false" ht="15" hidden="false" customHeight="false" outlineLevel="0" collapsed="false">
      <c r="A37" s="7" t="s">
        <v>227</v>
      </c>
      <c r="B37" s="30" t="n">
        <v>0.7</v>
      </c>
      <c r="E37" s="2" t="s">
        <v>228</v>
      </c>
    </row>
    <row r="38" customFormat="false" ht="15" hidden="false" customHeight="false" outlineLevel="0" collapsed="false">
      <c r="A38" s="7" t="s">
        <v>229</v>
      </c>
      <c r="B38" s="30" t="n">
        <v>0.75</v>
      </c>
      <c r="E38" s="2" t="s">
        <v>230</v>
      </c>
    </row>
    <row r="39" customFormat="false" ht="15" hidden="false" customHeight="false" outlineLevel="0" collapsed="false">
      <c r="A39" s="7" t="s">
        <v>231</v>
      </c>
      <c r="B39" s="32" t="n">
        <v>600</v>
      </c>
      <c r="E39" s="2" t="s">
        <v>232</v>
      </c>
    </row>
    <row r="40" customFormat="false" ht="15" hidden="false" customHeight="false" outlineLevel="0" collapsed="false">
      <c r="A40" s="7" t="s">
        <v>233</v>
      </c>
      <c r="B40" s="30" t="n">
        <v>0.28</v>
      </c>
      <c r="E40" s="2" t="s">
        <v>234</v>
      </c>
    </row>
    <row r="41" customFormat="false" ht="15" hidden="false" customHeight="false" outlineLevel="0" collapsed="false">
      <c r="A41" s="7" t="s">
        <v>235</v>
      </c>
      <c r="B41" s="30" t="n">
        <v>0.2</v>
      </c>
      <c r="E41" s="2" t="s">
        <v>236</v>
      </c>
    </row>
    <row r="42" customFormat="false" ht="15" hidden="false" customHeight="false" outlineLevel="0" collapsed="false">
      <c r="A42" s="7" t="s">
        <v>237</v>
      </c>
      <c r="B42" s="32" t="n">
        <v>80000</v>
      </c>
      <c r="E42" s="2" t="s">
        <v>238</v>
      </c>
    </row>
    <row r="43" customFormat="false" ht="15" hidden="false" customHeight="false" outlineLevel="0" collapsed="false">
      <c r="A43" s="7" t="s">
        <v>239</v>
      </c>
      <c r="B43" s="33" t="n">
        <v>0.025</v>
      </c>
      <c r="E43" s="2"/>
    </row>
    <row r="44" customFormat="false" ht="15" hidden="false" customHeight="false" outlineLevel="0" collapsed="false">
      <c r="A44" s="7" t="s">
        <v>240</v>
      </c>
      <c r="B44" s="32" t="n">
        <v>250000</v>
      </c>
      <c r="E44" s="2"/>
    </row>
    <row r="45" customFormat="false" ht="15" hidden="false" customHeight="false" outlineLevel="0" collapsed="false">
      <c r="A45" s="7" t="s">
        <v>241</v>
      </c>
      <c r="B45" s="33" t="n">
        <v>0.05</v>
      </c>
      <c r="E45" s="2"/>
    </row>
    <row r="47" customFormat="false" ht="15" hidden="false" customHeight="false" outlineLevel="0" collapsed="false">
      <c r="A47" s="3" t="s">
        <v>242</v>
      </c>
      <c r="B47" s="4"/>
      <c r="C47" s="4"/>
      <c r="D47" s="4"/>
      <c r="E47" s="4"/>
    </row>
    <row r="48" customFormat="false" ht="15" hidden="false" customHeight="false" outlineLevel="0" collapsed="false">
      <c r="A48" s="16" t="s">
        <v>243</v>
      </c>
      <c r="B48" s="16" t="s">
        <v>217</v>
      </c>
      <c r="C48" s="16" t="s">
        <v>218</v>
      </c>
    </row>
    <row r="49" customFormat="false" ht="15" hidden="false" customHeight="false" outlineLevel="0" collapsed="false">
      <c r="A49" s="32" t="n">
        <v>0</v>
      </c>
      <c r="B49" s="33" t="n">
        <v>0.125</v>
      </c>
      <c r="C49" s="34" t="n">
        <f aca="false">B49</f>
        <v>0.125</v>
      </c>
    </row>
    <row r="50" customFormat="false" ht="15" hidden="false" customHeight="false" outlineLevel="0" collapsed="false">
      <c r="A50" s="32" t="n">
        <v>8342</v>
      </c>
      <c r="B50" s="33" t="n">
        <v>0.16</v>
      </c>
      <c r="C50" s="34" t="n">
        <f aca="false">B50-B49</f>
        <v>0.035</v>
      </c>
    </row>
    <row r="51" customFormat="false" ht="15" hidden="false" customHeight="false" outlineLevel="0" collapsed="false">
      <c r="A51" s="32" t="n">
        <v>12587</v>
      </c>
      <c r="B51" s="33" t="n">
        <v>0.215</v>
      </c>
      <c r="C51" s="34" t="n">
        <f aca="false">B51-B50</f>
        <v>0.055</v>
      </c>
    </row>
    <row r="52" customFormat="false" ht="15" hidden="false" customHeight="false" outlineLevel="0" collapsed="false">
      <c r="A52" s="32" t="n">
        <v>17838</v>
      </c>
      <c r="B52" s="33" t="n">
        <v>0.244</v>
      </c>
      <c r="C52" s="34" t="n">
        <f aca="false">B52-B51</f>
        <v>0.029</v>
      </c>
    </row>
    <row r="53" customFormat="false" ht="15" hidden="false" customHeight="false" outlineLevel="0" collapsed="false">
      <c r="A53" s="32" t="n">
        <v>23089</v>
      </c>
      <c r="B53" s="33" t="n">
        <v>0.314</v>
      </c>
      <c r="C53" s="34" t="n">
        <f aca="false">B53-B52</f>
        <v>0.07</v>
      </c>
    </row>
    <row r="54" customFormat="false" ht="15" hidden="false" customHeight="false" outlineLevel="0" collapsed="false">
      <c r="A54" s="32" t="n">
        <v>29397</v>
      </c>
      <c r="B54" s="33" t="n">
        <v>0.349</v>
      </c>
      <c r="C54" s="34" t="n">
        <f aca="false">B54-B53</f>
        <v>0.035</v>
      </c>
    </row>
    <row r="55" customFormat="false" ht="15" hidden="false" customHeight="false" outlineLevel="0" collapsed="false">
      <c r="A55" s="32" t="n">
        <v>43090</v>
      </c>
      <c r="B55" s="33" t="n">
        <v>0.431</v>
      </c>
      <c r="C55" s="34" t="n">
        <f aca="false">B55-B54</f>
        <v>0.082</v>
      </c>
    </row>
    <row r="56" customFormat="false" ht="15" hidden="false" customHeight="false" outlineLevel="0" collapsed="false">
      <c r="A56" s="32" t="n">
        <v>46566</v>
      </c>
      <c r="B56" s="33" t="n">
        <v>0.446</v>
      </c>
      <c r="C56" s="34" t="n">
        <f aca="false">B56-B55</f>
        <v>0.015</v>
      </c>
    </row>
    <row r="57" customFormat="false" ht="15" hidden="false" customHeight="false" outlineLevel="0" collapsed="false">
      <c r="A57" s="32" t="n">
        <v>86634</v>
      </c>
      <c r="B57" s="33" t="n">
        <v>0.48</v>
      </c>
      <c r="C57" s="34" t="n">
        <f aca="false">B57-B56</f>
        <v>0.034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2"/>
    <col collapsed="false" customWidth="true" hidden="false" outlineLevel="0" max="3" min="3" style="0" width="72"/>
    <col collapsed="false" customWidth="true" hidden="false" outlineLevel="0" max="4" min="4" style="0" width="22"/>
  </cols>
  <sheetData>
    <row r="1" customFormat="false" ht="19.7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15" hidden="false" customHeight="false" outlineLevel="0" collapsed="false">
      <c r="A4" s="16" t="s">
        <v>246</v>
      </c>
      <c r="B4" s="16" t="s">
        <v>247</v>
      </c>
      <c r="C4" s="16" t="s">
        <v>248</v>
      </c>
      <c r="D4" s="16" t="s">
        <v>249</v>
      </c>
    </row>
    <row r="5" customFormat="false" ht="23.85" hidden="false" customHeight="false" outlineLevel="0" collapsed="false">
      <c r="A5" s="35" t="s">
        <v>250</v>
      </c>
      <c r="B5" s="36" t="s">
        <v>251</v>
      </c>
      <c r="C5" s="36" t="s">
        <v>252</v>
      </c>
      <c r="D5" s="36" t="s">
        <v>253</v>
      </c>
    </row>
    <row r="6" customFormat="false" ht="15" hidden="false" customHeight="false" outlineLevel="0" collapsed="false">
      <c r="A6" s="35" t="s">
        <v>254</v>
      </c>
      <c r="B6" s="36" t="s">
        <v>255</v>
      </c>
      <c r="C6" s="36" t="s">
        <v>256</v>
      </c>
      <c r="D6" s="36" t="s">
        <v>198</v>
      </c>
    </row>
    <row r="7" customFormat="false" ht="35.05" hidden="false" customHeight="false" outlineLevel="0" collapsed="false">
      <c r="A7" s="35" t="s">
        <v>257</v>
      </c>
      <c r="B7" s="36" t="s">
        <v>258</v>
      </c>
      <c r="C7" s="36" t="s">
        <v>259</v>
      </c>
      <c r="D7" s="36" t="s">
        <v>260</v>
      </c>
    </row>
    <row r="8" customFormat="false" ht="15" hidden="false" customHeight="false" outlineLevel="0" collapsed="false">
      <c r="A8" s="35" t="s">
        <v>261</v>
      </c>
      <c r="B8" s="36" t="s">
        <v>262</v>
      </c>
      <c r="C8" s="36" t="s">
        <v>263</v>
      </c>
      <c r="D8" s="36" t="s">
        <v>260</v>
      </c>
    </row>
    <row r="9" customFormat="false" ht="23.85" hidden="false" customHeight="false" outlineLevel="0" collapsed="false">
      <c r="A9" s="35" t="s">
        <v>264</v>
      </c>
      <c r="B9" s="36" t="s">
        <v>265</v>
      </c>
      <c r="C9" s="36" t="s">
        <v>266</v>
      </c>
      <c r="D9" s="36" t="s">
        <v>267</v>
      </c>
    </row>
    <row r="10" customFormat="false" ht="23.85" hidden="false" customHeight="false" outlineLevel="0" collapsed="false">
      <c r="A10" s="35" t="s">
        <v>268</v>
      </c>
      <c r="B10" s="36" t="s">
        <v>269</v>
      </c>
      <c r="C10" s="36" t="s">
        <v>270</v>
      </c>
      <c r="D10" s="36" t="s">
        <v>271</v>
      </c>
    </row>
    <row r="11" customFormat="false" ht="15" hidden="false" customHeight="false" outlineLevel="0" collapsed="false">
      <c r="A11" s="35" t="s">
        <v>149</v>
      </c>
      <c r="B11" s="36" t="s">
        <v>272</v>
      </c>
      <c r="C11" s="36" t="s">
        <v>273</v>
      </c>
      <c r="D11" s="36" t="s">
        <v>274</v>
      </c>
    </row>
    <row r="12" customFormat="false" ht="15" hidden="false" customHeight="false" outlineLevel="0" collapsed="false">
      <c r="A12" s="35" t="s">
        <v>275</v>
      </c>
      <c r="B12" s="36" t="s">
        <v>276</v>
      </c>
      <c r="C12" s="36" t="s">
        <v>277</v>
      </c>
      <c r="D12" s="36" t="s">
        <v>278</v>
      </c>
    </row>
    <row r="13" customFormat="false" ht="15" hidden="false" customHeight="false" outlineLevel="0" collapsed="false">
      <c r="A13" s="35" t="s">
        <v>279</v>
      </c>
      <c r="B13" s="36" t="s">
        <v>280</v>
      </c>
      <c r="C13" s="36" t="s">
        <v>281</v>
      </c>
      <c r="D13" s="36" t="s">
        <v>282</v>
      </c>
    </row>
    <row r="14" customFormat="false" ht="23.85" hidden="false" customHeight="false" outlineLevel="0" collapsed="false">
      <c r="A14" s="35" t="s">
        <v>283</v>
      </c>
      <c r="B14" s="36" t="s">
        <v>284</v>
      </c>
      <c r="C14" s="36" t="s">
        <v>285</v>
      </c>
      <c r="D14" s="36" t="s">
        <v>286</v>
      </c>
    </row>
    <row r="15" customFormat="false" ht="15" hidden="false" customHeight="false" outlineLevel="0" collapsed="false">
      <c r="A15" s="35" t="s">
        <v>287</v>
      </c>
      <c r="B15" s="36" t="s">
        <v>288</v>
      </c>
      <c r="C15" s="36" t="s">
        <v>289</v>
      </c>
      <c r="D15" s="36" t="s">
        <v>290</v>
      </c>
    </row>
    <row r="16" customFormat="false" ht="23.85" hidden="false" customHeight="false" outlineLevel="0" collapsed="false">
      <c r="A16" s="35" t="s">
        <v>291</v>
      </c>
      <c r="B16" s="36" t="s">
        <v>292</v>
      </c>
      <c r="C16" s="36" t="s">
        <v>293</v>
      </c>
      <c r="D16" s="36" t="s">
        <v>294</v>
      </c>
    </row>
    <row r="17" customFormat="false" ht="23.85" hidden="false" customHeight="false" outlineLevel="0" collapsed="false">
      <c r="A17" s="35" t="s">
        <v>295</v>
      </c>
      <c r="B17" s="36" t="s">
        <v>296</v>
      </c>
      <c r="C17" s="36" t="s">
        <v>297</v>
      </c>
      <c r="D17" s="36" t="s">
        <v>298</v>
      </c>
    </row>
    <row r="18" customFormat="false" ht="15" hidden="false" customHeight="false" outlineLevel="0" collapsed="false">
      <c r="A18" s="35" t="s">
        <v>299</v>
      </c>
      <c r="B18" s="36" t="s">
        <v>300</v>
      </c>
      <c r="C18" s="36" t="s">
        <v>301</v>
      </c>
      <c r="D18" s="36" t="s">
        <v>302</v>
      </c>
    </row>
    <row r="19" customFormat="false" ht="23.85" hidden="false" customHeight="false" outlineLevel="0" collapsed="false">
      <c r="A19" s="35" t="s">
        <v>303</v>
      </c>
      <c r="B19" s="36" t="s">
        <v>304</v>
      </c>
      <c r="C19" s="36" t="s">
        <v>305</v>
      </c>
      <c r="D19" s="36" t="s">
        <v>306</v>
      </c>
    </row>
    <row r="20" customFormat="false" ht="15" hidden="false" customHeight="false" outlineLevel="0" collapsed="false">
      <c r="A20" s="35" t="s">
        <v>307</v>
      </c>
      <c r="B20" s="36" t="s">
        <v>308</v>
      </c>
      <c r="C20" s="36" t="s">
        <v>309</v>
      </c>
      <c r="D20" s="36" t="s">
        <v>310</v>
      </c>
    </row>
    <row r="21" customFormat="false" ht="15" hidden="false" customHeight="false" outlineLevel="0" collapsed="false">
      <c r="A21" s="35" t="s">
        <v>311</v>
      </c>
      <c r="B21" s="36" t="s">
        <v>312</v>
      </c>
      <c r="C21" s="36" t="s">
        <v>313</v>
      </c>
      <c r="D21" s="36" t="s">
        <v>314</v>
      </c>
    </row>
    <row r="22" customFormat="false" ht="23.85" hidden="false" customHeight="false" outlineLevel="0" collapsed="false">
      <c r="A22" s="35" t="s">
        <v>315</v>
      </c>
      <c r="B22" s="36" t="s">
        <v>316</v>
      </c>
      <c r="C22" s="36"/>
      <c r="D22" s="36" t="s">
        <v>317</v>
      </c>
    </row>
    <row r="23" customFormat="false" ht="15" hidden="false" customHeight="false" outlineLevel="0" collapsed="false">
      <c r="A23" s="35" t="s">
        <v>318</v>
      </c>
      <c r="B23" s="36" t="s">
        <v>319</v>
      </c>
      <c r="C23" s="36" t="s">
        <v>320</v>
      </c>
      <c r="D23" s="36" t="s">
        <v>321</v>
      </c>
    </row>
    <row r="24" customFormat="false" ht="15" hidden="false" customHeight="false" outlineLevel="0" collapsed="false">
      <c r="A24" s="35" t="s">
        <v>322</v>
      </c>
      <c r="B24" s="36" t="s">
        <v>323</v>
      </c>
      <c r="C24" s="36" t="s">
        <v>324</v>
      </c>
      <c r="D24" s="36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70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326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16" t="s">
        <v>246</v>
      </c>
      <c r="B4" s="16" t="s">
        <v>247</v>
      </c>
      <c r="C4" s="16" t="s">
        <v>248</v>
      </c>
      <c r="D4" s="16" t="s">
        <v>328</v>
      </c>
    </row>
    <row r="5" customFormat="false" ht="23.85" hidden="false" customHeight="false" outlineLevel="0" collapsed="false">
      <c r="A5" s="35" t="s">
        <v>329</v>
      </c>
      <c r="B5" s="36" t="s">
        <v>330</v>
      </c>
      <c r="C5" s="36" t="s">
        <v>331</v>
      </c>
      <c r="D5" s="36" t="s">
        <v>332</v>
      </c>
    </row>
    <row r="6" customFormat="false" ht="15" hidden="false" customHeight="false" outlineLevel="0" collapsed="false">
      <c r="A6" s="35" t="s">
        <v>333</v>
      </c>
      <c r="B6" s="36" t="s">
        <v>334</v>
      </c>
      <c r="C6" s="36" t="s">
        <v>335</v>
      </c>
      <c r="D6" s="36" t="s">
        <v>336</v>
      </c>
    </row>
    <row r="7" customFormat="false" ht="15" hidden="false" customHeight="false" outlineLevel="0" collapsed="false">
      <c r="A7" s="35" t="s">
        <v>337</v>
      </c>
      <c r="B7" s="36" t="s">
        <v>338</v>
      </c>
      <c r="C7" s="36" t="s">
        <v>339</v>
      </c>
      <c r="D7" s="36" t="s">
        <v>340</v>
      </c>
    </row>
    <row r="8" customFormat="false" ht="15" hidden="false" customHeight="false" outlineLevel="0" collapsed="false">
      <c r="A8" s="35" t="s">
        <v>341</v>
      </c>
      <c r="B8" s="36" t="s">
        <v>342</v>
      </c>
      <c r="C8" s="36"/>
      <c r="D8" s="36" t="s">
        <v>222</v>
      </c>
    </row>
    <row r="9" customFormat="false" ht="15" hidden="false" customHeight="false" outlineLevel="0" collapsed="false">
      <c r="A9" s="35" t="s">
        <v>180</v>
      </c>
      <c r="B9" s="36" t="s">
        <v>343</v>
      </c>
      <c r="C9" s="36"/>
      <c r="D9" s="36" t="s">
        <v>238</v>
      </c>
    </row>
    <row r="10" customFormat="false" ht="23.85" hidden="false" customHeight="false" outlineLevel="0" collapsed="false">
      <c r="A10" s="35" t="s">
        <v>344</v>
      </c>
      <c r="B10" s="36" t="s">
        <v>345</v>
      </c>
      <c r="C10" s="36" t="s">
        <v>346</v>
      </c>
      <c r="D10" s="36" t="s">
        <v>347</v>
      </c>
    </row>
    <row r="11" customFormat="false" ht="23.85" hidden="false" customHeight="false" outlineLevel="0" collapsed="false">
      <c r="A11" s="35" t="s">
        <v>348</v>
      </c>
      <c r="B11" s="36" t="s">
        <v>349</v>
      </c>
      <c r="C11" s="36" t="s">
        <v>350</v>
      </c>
      <c r="D11" s="36" t="s">
        <v>351</v>
      </c>
    </row>
    <row r="12" customFormat="false" ht="23.85" hidden="false" customHeight="false" outlineLevel="0" collapsed="false">
      <c r="A12" s="35" t="s">
        <v>352</v>
      </c>
      <c r="B12" s="36" t="s">
        <v>353</v>
      </c>
      <c r="C12" s="36" t="s">
        <v>354</v>
      </c>
      <c r="D12" s="36" t="s">
        <v>234</v>
      </c>
    </row>
    <row r="13" customFormat="false" ht="23.85" hidden="false" customHeight="false" outlineLevel="0" collapsed="false">
      <c r="A13" s="35" t="s">
        <v>355</v>
      </c>
      <c r="B13" s="36" t="s">
        <v>356</v>
      </c>
      <c r="C13" s="36" t="s">
        <v>357</v>
      </c>
      <c r="D13" s="36" t="s">
        <v>358</v>
      </c>
    </row>
    <row r="14" customFormat="false" ht="15" hidden="false" customHeight="false" outlineLevel="0" collapsed="false">
      <c r="A14" s="35" t="s">
        <v>359</v>
      </c>
      <c r="B14" s="36" t="s">
        <v>360</v>
      </c>
      <c r="C14" s="36" t="s">
        <v>361</v>
      </c>
      <c r="D14" s="36" t="s">
        <v>234</v>
      </c>
    </row>
    <row r="15" customFormat="false" ht="23.85" hidden="false" customHeight="false" outlineLevel="0" collapsed="false">
      <c r="A15" s="35" t="s">
        <v>362</v>
      </c>
      <c r="B15" s="36" t="s">
        <v>363</v>
      </c>
      <c r="C15" s="36" t="s">
        <v>364</v>
      </c>
      <c r="D15" s="36" t="s">
        <v>365</v>
      </c>
    </row>
    <row r="16" customFormat="false" ht="35.05" hidden="false" customHeight="false" outlineLevel="0" collapsed="false">
      <c r="A16" s="35" t="s">
        <v>366</v>
      </c>
      <c r="B16" s="36" t="s">
        <v>367</v>
      </c>
      <c r="C16" s="36" t="s">
        <v>368</v>
      </c>
      <c r="D16" s="36" t="s">
        <v>369</v>
      </c>
    </row>
    <row r="17" customFormat="false" ht="15" hidden="false" customHeight="false" outlineLevel="0" collapsed="false">
      <c r="A17" s="35" t="s">
        <v>370</v>
      </c>
      <c r="B17" s="36" t="s">
        <v>371</v>
      </c>
      <c r="C17" s="36" t="s">
        <v>372</v>
      </c>
      <c r="D17" s="36" t="s">
        <v>373</v>
      </c>
    </row>
    <row r="18" customFormat="false" ht="23.85" hidden="false" customHeight="false" outlineLevel="0" collapsed="false">
      <c r="A18" s="35" t="s">
        <v>374</v>
      </c>
      <c r="B18" s="36" t="s">
        <v>375</v>
      </c>
      <c r="C18" s="36" t="s">
        <v>376</v>
      </c>
      <c r="D18" s="36" t="s">
        <v>226</v>
      </c>
    </row>
    <row r="19" customFormat="false" ht="23.85" hidden="false" customHeight="false" outlineLevel="0" collapsed="false">
      <c r="A19" s="35" t="s">
        <v>377</v>
      </c>
      <c r="B19" s="36" t="s">
        <v>378</v>
      </c>
      <c r="C19" s="36" t="s">
        <v>379</v>
      </c>
      <c r="D19" s="36" t="s">
        <v>380</v>
      </c>
    </row>
    <row r="20" customFormat="false" ht="23.85" hidden="false" customHeight="false" outlineLevel="0" collapsed="false">
      <c r="A20" s="35" t="s">
        <v>381</v>
      </c>
      <c r="B20" s="36" t="s">
        <v>382</v>
      </c>
      <c r="C20" s="36" t="s">
        <v>383</v>
      </c>
      <c r="D20" s="36" t="s">
        <v>384</v>
      </c>
    </row>
    <row r="21" customFormat="false" ht="23.85" hidden="false" customHeight="false" outlineLevel="0" collapsed="false">
      <c r="A21" s="35" t="s">
        <v>385</v>
      </c>
      <c r="B21" s="36" t="s">
        <v>386</v>
      </c>
      <c r="C21" s="36" t="s">
        <v>387</v>
      </c>
      <c r="D21" s="36" t="s">
        <v>388</v>
      </c>
    </row>
    <row r="22" customFormat="false" ht="15" hidden="false" customHeight="false" outlineLevel="0" collapsed="false">
      <c r="A22" s="35" t="s">
        <v>389</v>
      </c>
      <c r="B22" s="36" t="s">
        <v>390</v>
      </c>
      <c r="C22" s="36"/>
      <c r="D22" s="36" t="s">
        <v>391</v>
      </c>
    </row>
    <row r="23" customFormat="false" ht="23.85" hidden="false" customHeight="false" outlineLevel="0" collapsed="false">
      <c r="A23" s="35" t="s">
        <v>392</v>
      </c>
      <c r="B23" s="36" t="s">
        <v>393</v>
      </c>
      <c r="C23" s="36" t="s">
        <v>394</v>
      </c>
      <c r="D23" s="36" t="s">
        <v>395</v>
      </c>
    </row>
    <row r="24" customFormat="false" ht="15" hidden="false" customHeight="false" outlineLevel="0" collapsed="false">
      <c r="A24" s="35" t="s">
        <v>396</v>
      </c>
      <c r="B24" s="36" t="s">
        <v>397</v>
      </c>
      <c r="C24" s="36" t="s">
        <v>398</v>
      </c>
      <c r="D24" s="36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7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15" hidden="false" customHeight="false" outlineLevel="0" collapsed="false">
      <c r="A4" s="16" t="s">
        <v>246</v>
      </c>
      <c r="B4" s="16" t="s">
        <v>402</v>
      </c>
      <c r="C4" s="16" t="s">
        <v>403</v>
      </c>
      <c r="D4" s="16" t="s">
        <v>404</v>
      </c>
    </row>
    <row r="5" customFormat="false" ht="23.85" hidden="false" customHeight="false" outlineLevel="0" collapsed="false">
      <c r="A5" s="35" t="s">
        <v>405</v>
      </c>
      <c r="B5" s="36" t="s">
        <v>406</v>
      </c>
      <c r="C5" s="36" t="s">
        <v>407</v>
      </c>
      <c r="D5" s="36"/>
    </row>
    <row r="6" customFormat="false" ht="23.85" hidden="false" customHeight="false" outlineLevel="0" collapsed="false">
      <c r="A6" s="35" t="s">
        <v>408</v>
      </c>
      <c r="B6" s="36" t="s">
        <v>409</v>
      </c>
      <c r="C6" s="36" t="s">
        <v>410</v>
      </c>
      <c r="D6" s="36" t="s">
        <v>411</v>
      </c>
    </row>
    <row r="7" customFormat="false" ht="15" hidden="false" customHeight="false" outlineLevel="0" collapsed="false">
      <c r="A7" s="35" t="s">
        <v>412</v>
      </c>
      <c r="B7" s="36" t="s">
        <v>413</v>
      </c>
      <c r="C7" s="36" t="s">
        <v>414</v>
      </c>
      <c r="D7" s="36" t="s">
        <v>415</v>
      </c>
    </row>
    <row r="8" customFormat="false" ht="15" hidden="false" customHeight="false" outlineLevel="0" collapsed="false">
      <c r="A8" s="35" t="s">
        <v>416</v>
      </c>
      <c r="B8" s="36" t="s">
        <v>417</v>
      </c>
      <c r="C8" s="36"/>
      <c r="D8" s="36" t="s">
        <v>418</v>
      </c>
    </row>
    <row r="9" customFormat="false" ht="15" hidden="false" customHeight="false" outlineLevel="0" collapsed="false">
      <c r="A9" s="35" t="s">
        <v>419</v>
      </c>
      <c r="B9" s="36" t="s">
        <v>417</v>
      </c>
      <c r="C9" s="36"/>
      <c r="D9" s="36" t="s">
        <v>420</v>
      </c>
    </row>
    <row r="10" customFormat="false" ht="15" hidden="false" customHeight="false" outlineLevel="0" collapsed="false">
      <c r="A10" s="35" t="s">
        <v>421</v>
      </c>
      <c r="B10" s="36" t="s">
        <v>422</v>
      </c>
      <c r="C10" s="36" t="s">
        <v>423</v>
      </c>
      <c r="D10" s="36" t="s">
        <v>424</v>
      </c>
    </row>
    <row r="11" customFormat="false" ht="15" hidden="false" customHeight="false" outlineLevel="0" collapsed="false">
      <c r="A11" s="35" t="s">
        <v>425</v>
      </c>
      <c r="B11" s="36" t="s">
        <v>426</v>
      </c>
      <c r="C11" s="36" t="s">
        <v>427</v>
      </c>
      <c r="D11" s="36" t="s">
        <v>428</v>
      </c>
    </row>
    <row r="12" customFormat="false" ht="15" hidden="false" customHeight="false" outlineLevel="0" collapsed="false">
      <c r="A12" s="35" t="s">
        <v>429</v>
      </c>
      <c r="B12" s="36" t="s">
        <v>430</v>
      </c>
      <c r="C12" s="36" t="s">
        <v>431</v>
      </c>
      <c r="D12" s="36" t="s">
        <v>432</v>
      </c>
    </row>
    <row r="13" customFormat="false" ht="23.85" hidden="false" customHeight="false" outlineLevel="0" collapsed="false">
      <c r="A13" s="35" t="s">
        <v>433</v>
      </c>
      <c r="B13" s="36" t="s">
        <v>434</v>
      </c>
      <c r="C13" s="36" t="s">
        <v>435</v>
      </c>
      <c r="D13" s="36" t="s">
        <v>436</v>
      </c>
    </row>
    <row r="14" customFormat="false" ht="15" hidden="false" customHeight="false" outlineLevel="0" collapsed="false">
      <c r="A14" s="35" t="s">
        <v>437</v>
      </c>
      <c r="B14" s="36" t="s">
        <v>438</v>
      </c>
      <c r="C14" s="36" t="s">
        <v>439</v>
      </c>
      <c r="D14" s="36" t="s">
        <v>440</v>
      </c>
    </row>
    <row r="15" customFormat="false" ht="23.85" hidden="false" customHeight="false" outlineLevel="0" collapsed="false">
      <c r="A15" s="35" t="s">
        <v>441</v>
      </c>
      <c r="B15" s="36" t="s">
        <v>442</v>
      </c>
      <c r="C15" s="36" t="s">
        <v>443</v>
      </c>
      <c r="D15" s="36" t="s">
        <v>444</v>
      </c>
    </row>
    <row r="16" customFormat="false" ht="15" hidden="false" customHeight="false" outlineLevel="0" collapsed="false">
      <c r="A16" s="35" t="s">
        <v>445</v>
      </c>
      <c r="B16" s="36" t="s">
        <v>446</v>
      </c>
      <c r="C16" s="36" t="s">
        <v>447</v>
      </c>
      <c r="D16" s="36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15" hidden="false" customHeight="false" outlineLevel="0" collapsed="false">
      <c r="A4" s="16" t="s">
        <v>451</v>
      </c>
      <c r="B4" s="16" t="s">
        <v>452</v>
      </c>
      <c r="C4" s="16" t="s">
        <v>453</v>
      </c>
      <c r="D4" s="16" t="s">
        <v>454</v>
      </c>
      <c r="E4" s="16" t="s">
        <v>455</v>
      </c>
    </row>
    <row r="5" customFormat="false" ht="15" hidden="false" customHeight="false" outlineLevel="0" collapsed="false">
      <c r="A5" s="35" t="s">
        <v>456</v>
      </c>
      <c r="B5" s="36" t="s">
        <v>19</v>
      </c>
      <c r="C5" s="36" t="s">
        <v>457</v>
      </c>
      <c r="D5" s="36" t="s">
        <v>458</v>
      </c>
      <c r="E5" s="36" t="s">
        <v>459</v>
      </c>
    </row>
    <row r="6" customFormat="false" ht="15" hidden="false" customHeight="false" outlineLevel="0" collapsed="false">
      <c r="A6" s="35" t="s">
        <v>456</v>
      </c>
      <c r="B6" s="36" t="s">
        <v>460</v>
      </c>
      <c r="C6" s="36" t="s">
        <v>461</v>
      </c>
      <c r="D6" s="36" t="s">
        <v>462</v>
      </c>
      <c r="E6" s="36" t="s">
        <v>463</v>
      </c>
    </row>
    <row r="7" customFormat="false" ht="15" hidden="false" customHeight="false" outlineLevel="0" collapsed="false">
      <c r="A7" s="35" t="s">
        <v>464</v>
      </c>
      <c r="B7" s="36" t="s">
        <v>460</v>
      </c>
      <c r="C7" s="36" t="s">
        <v>465</v>
      </c>
      <c r="D7" s="36" t="s">
        <v>466</v>
      </c>
      <c r="E7" s="36" t="s">
        <v>467</v>
      </c>
    </row>
    <row r="8" customFormat="false" ht="15" hidden="false" customHeight="false" outlineLevel="0" collapsed="false">
      <c r="A8" s="35" t="s">
        <v>468</v>
      </c>
      <c r="B8" s="36" t="s">
        <v>19</v>
      </c>
      <c r="C8" s="36" t="s">
        <v>469</v>
      </c>
      <c r="D8" s="36" t="s">
        <v>470</v>
      </c>
      <c r="E8" s="36" t="s">
        <v>471</v>
      </c>
    </row>
    <row r="9" customFormat="false" ht="15" hidden="false" customHeight="false" outlineLevel="0" collapsed="false">
      <c r="A9" s="35" t="s">
        <v>472</v>
      </c>
      <c r="B9" s="36" t="s">
        <v>19</v>
      </c>
      <c r="C9" s="36" t="s">
        <v>473</v>
      </c>
      <c r="D9" s="36" t="s">
        <v>253</v>
      </c>
      <c r="E9" s="36" t="s">
        <v>474</v>
      </c>
    </row>
    <row r="10" customFormat="false" ht="15" hidden="false" customHeight="false" outlineLevel="0" collapsed="false">
      <c r="A10" s="35" t="s">
        <v>475</v>
      </c>
      <c r="B10" s="36" t="s">
        <v>460</v>
      </c>
      <c r="C10" s="36" t="s">
        <v>476</v>
      </c>
      <c r="D10" s="36" t="s">
        <v>395</v>
      </c>
      <c r="E10" s="36"/>
    </row>
    <row r="11" customFormat="false" ht="15" hidden="false" customHeight="false" outlineLevel="0" collapsed="false">
      <c r="A11" s="35" t="s">
        <v>477</v>
      </c>
      <c r="B11" s="36" t="s">
        <v>19</v>
      </c>
      <c r="C11" s="36" t="s">
        <v>478</v>
      </c>
      <c r="D11" s="36" t="s">
        <v>479</v>
      </c>
      <c r="E11" s="36"/>
    </row>
    <row r="12" customFormat="false" ht="15" hidden="false" customHeight="false" outlineLevel="0" collapsed="false">
      <c r="A12" s="35" t="s">
        <v>480</v>
      </c>
      <c r="B12" s="36" t="s">
        <v>460</v>
      </c>
      <c r="C12" s="36" t="s">
        <v>481</v>
      </c>
      <c r="D12" s="36" t="s">
        <v>482</v>
      </c>
      <c r="E12" s="36" t="s">
        <v>483</v>
      </c>
    </row>
    <row r="13" customFormat="false" ht="15" hidden="false" customHeight="false" outlineLevel="0" collapsed="false">
      <c r="A13" s="35" t="s">
        <v>484</v>
      </c>
      <c r="B13" s="36" t="s">
        <v>460</v>
      </c>
      <c r="C13" s="36" t="s">
        <v>485</v>
      </c>
      <c r="D13" s="36" t="s">
        <v>486</v>
      </c>
      <c r="E13" s="36" t="s">
        <v>487</v>
      </c>
    </row>
    <row r="14" customFormat="false" ht="15" hidden="false" customHeight="false" outlineLevel="0" collapsed="false">
      <c r="A14" s="35" t="s">
        <v>488</v>
      </c>
      <c r="B14" s="36" t="s">
        <v>460</v>
      </c>
      <c r="C14" s="36" t="s">
        <v>489</v>
      </c>
      <c r="D14" s="36" t="s">
        <v>486</v>
      </c>
      <c r="E14" s="36" t="s">
        <v>490</v>
      </c>
    </row>
    <row r="15" customFormat="false" ht="15" hidden="false" customHeight="false" outlineLevel="0" collapsed="false">
      <c r="A15" s="35" t="s">
        <v>491</v>
      </c>
      <c r="B15" s="36" t="s">
        <v>492</v>
      </c>
      <c r="C15" s="36" t="s">
        <v>493</v>
      </c>
      <c r="D15" s="36" t="s">
        <v>317</v>
      </c>
      <c r="E15" s="36"/>
    </row>
    <row r="16" customFormat="false" ht="15" hidden="false" customHeight="false" outlineLevel="0" collapsed="false">
      <c r="A16" s="35" t="s">
        <v>494</v>
      </c>
      <c r="B16" s="36" t="s">
        <v>492</v>
      </c>
      <c r="C16" s="36" t="s">
        <v>495</v>
      </c>
      <c r="D16" s="36" t="s">
        <v>317</v>
      </c>
      <c r="E16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496</v>
      </c>
    </row>
    <row r="2" customFormat="false" ht="15" hidden="false" customHeight="false" outlineLevel="0" collapsed="false">
      <c r="A2" s="2" t="s">
        <v>497</v>
      </c>
    </row>
    <row r="4" customFormat="false" ht="15" hidden="false" customHeight="false" outlineLevel="0" collapsed="false">
      <c r="A4" s="16" t="s">
        <v>498</v>
      </c>
      <c r="B4" s="16" t="s">
        <v>452</v>
      </c>
      <c r="C4" s="16" t="s">
        <v>499</v>
      </c>
      <c r="D4" s="16" t="s">
        <v>500</v>
      </c>
      <c r="E4" s="16" t="s">
        <v>501</v>
      </c>
      <c r="F4" s="16" t="s">
        <v>455</v>
      </c>
    </row>
    <row r="5" customFormat="false" ht="15" hidden="false" customHeight="false" outlineLevel="0" collapsed="false">
      <c r="A5" s="35" t="s">
        <v>502</v>
      </c>
      <c r="B5" s="36" t="s">
        <v>492</v>
      </c>
      <c r="C5" s="36" t="s">
        <v>503</v>
      </c>
      <c r="D5" s="36" t="s">
        <v>504</v>
      </c>
      <c r="E5" s="37" t="s">
        <v>505</v>
      </c>
      <c r="F5" s="36" t="s">
        <v>506</v>
      </c>
    </row>
    <row r="6" customFormat="false" ht="15" hidden="false" customHeight="false" outlineLevel="0" collapsed="false">
      <c r="A6" s="35" t="s">
        <v>507</v>
      </c>
      <c r="B6" s="36" t="s">
        <v>460</v>
      </c>
      <c r="C6" s="36" t="s">
        <v>503</v>
      </c>
      <c r="D6" s="36" t="s">
        <v>508</v>
      </c>
      <c r="E6" s="37" t="s">
        <v>505</v>
      </c>
      <c r="F6" s="36" t="s">
        <v>509</v>
      </c>
    </row>
    <row r="7" customFormat="false" ht="15" hidden="false" customHeight="false" outlineLevel="0" collapsed="false">
      <c r="A7" s="35" t="s">
        <v>510</v>
      </c>
      <c r="B7" s="36" t="s">
        <v>19</v>
      </c>
      <c r="C7" s="36" t="s">
        <v>503</v>
      </c>
      <c r="D7" s="36" t="s">
        <v>511</v>
      </c>
      <c r="E7" s="37" t="s">
        <v>505</v>
      </c>
      <c r="F7" s="36" t="s">
        <v>512</v>
      </c>
    </row>
    <row r="8" customFormat="false" ht="15" hidden="false" customHeight="false" outlineLevel="0" collapsed="false">
      <c r="A8" s="35" t="s">
        <v>513</v>
      </c>
      <c r="B8" s="36" t="s">
        <v>460</v>
      </c>
      <c r="C8" s="36" t="s">
        <v>503</v>
      </c>
      <c r="D8" s="36" t="s">
        <v>514</v>
      </c>
      <c r="E8" s="37" t="s">
        <v>505</v>
      </c>
      <c r="F8" s="36" t="s">
        <v>515</v>
      </c>
    </row>
    <row r="9" customFormat="false" ht="15" hidden="false" customHeight="false" outlineLevel="0" collapsed="false">
      <c r="A9" s="35" t="s">
        <v>516</v>
      </c>
      <c r="B9" s="36" t="s">
        <v>492</v>
      </c>
      <c r="C9" s="36" t="s">
        <v>503</v>
      </c>
      <c r="D9" s="36" t="s">
        <v>517</v>
      </c>
      <c r="E9" s="37" t="s">
        <v>505</v>
      </c>
      <c r="F9" s="36" t="s">
        <v>518</v>
      </c>
    </row>
    <row r="10" customFormat="false" ht="15" hidden="false" customHeight="false" outlineLevel="0" collapsed="false">
      <c r="A10" s="35" t="s">
        <v>519</v>
      </c>
      <c r="B10" s="36" t="s">
        <v>19</v>
      </c>
      <c r="C10" s="36" t="s">
        <v>503</v>
      </c>
      <c r="D10" s="36" t="s">
        <v>520</v>
      </c>
      <c r="E10" s="37" t="s">
        <v>505</v>
      </c>
      <c r="F10" s="36" t="s">
        <v>521</v>
      </c>
    </row>
    <row r="11" customFormat="false" ht="15" hidden="false" customHeight="false" outlineLevel="0" collapsed="false">
      <c r="A11" s="35" t="s">
        <v>522</v>
      </c>
      <c r="B11" s="36" t="s">
        <v>19</v>
      </c>
      <c r="C11" s="36" t="s">
        <v>503</v>
      </c>
      <c r="D11" s="36" t="s">
        <v>523</v>
      </c>
      <c r="E11" s="37" t="s">
        <v>505</v>
      </c>
      <c r="F11" s="36"/>
    </row>
    <row r="12" customFormat="false" ht="15" hidden="false" customHeight="false" outlineLevel="0" collapsed="false">
      <c r="A12" s="35" t="s">
        <v>524</v>
      </c>
      <c r="B12" s="36" t="s">
        <v>492</v>
      </c>
      <c r="C12" s="36" t="s">
        <v>525</v>
      </c>
      <c r="D12" s="36" t="s">
        <v>526</v>
      </c>
      <c r="E12" s="37" t="s">
        <v>505</v>
      </c>
      <c r="F12" s="36" t="s">
        <v>527</v>
      </c>
    </row>
    <row r="13" customFormat="false" ht="15" hidden="false" customHeight="false" outlineLevel="0" collapsed="false">
      <c r="A13" s="35" t="s">
        <v>528</v>
      </c>
      <c r="B13" s="36" t="s">
        <v>492</v>
      </c>
      <c r="C13" s="36" t="s">
        <v>525</v>
      </c>
      <c r="D13" s="36" t="s">
        <v>529</v>
      </c>
      <c r="E13" s="37" t="s">
        <v>505</v>
      </c>
      <c r="F13" s="36" t="s">
        <v>530</v>
      </c>
    </row>
    <row r="14" customFormat="false" ht="15" hidden="false" customHeight="false" outlineLevel="0" collapsed="false">
      <c r="A14" s="35" t="s">
        <v>531</v>
      </c>
      <c r="B14" s="36" t="s">
        <v>19</v>
      </c>
      <c r="C14" s="36" t="s">
        <v>525</v>
      </c>
      <c r="D14" s="36" t="s">
        <v>532</v>
      </c>
      <c r="E14" s="37" t="s">
        <v>505</v>
      </c>
      <c r="F14" s="36"/>
    </row>
    <row r="15" customFormat="false" ht="15" hidden="false" customHeight="false" outlineLevel="0" collapsed="false">
      <c r="A15" s="35" t="s">
        <v>533</v>
      </c>
      <c r="B15" s="36" t="s">
        <v>492</v>
      </c>
      <c r="C15" s="36" t="s">
        <v>525</v>
      </c>
      <c r="D15" s="36" t="s">
        <v>520</v>
      </c>
      <c r="E15" s="37" t="s">
        <v>505</v>
      </c>
      <c r="F15" s="36"/>
    </row>
    <row r="16" customFormat="false" ht="15" hidden="false" customHeight="false" outlineLevel="0" collapsed="false">
      <c r="A16" s="35" t="s">
        <v>534</v>
      </c>
      <c r="B16" s="36" t="s">
        <v>492</v>
      </c>
      <c r="C16" s="36" t="s">
        <v>535</v>
      </c>
      <c r="D16" s="36" t="s">
        <v>520</v>
      </c>
      <c r="E16" s="37" t="s">
        <v>505</v>
      </c>
      <c r="F16" s="36" t="s">
        <v>536</v>
      </c>
    </row>
    <row r="17" customFormat="false" ht="15" hidden="false" customHeight="false" outlineLevel="0" collapsed="false">
      <c r="A17" s="35" t="s">
        <v>537</v>
      </c>
      <c r="B17" s="36" t="s">
        <v>492</v>
      </c>
      <c r="C17" s="36" t="s">
        <v>503</v>
      </c>
      <c r="D17" s="36" t="s">
        <v>511</v>
      </c>
      <c r="E17" s="37" t="s">
        <v>505</v>
      </c>
      <c r="F17" s="36" t="s">
        <v>538</v>
      </c>
    </row>
  </sheetData>
  <dataValidations count="1">
    <dataValidation allowBlank="false" errorStyle="stop" operator="between" showDropDown="false" showErrorMessage="false" showInputMessage="false" sqref="E5:E17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2026-10-05T12:24:23Z</dcterms:created>
  <dc:creator>openpyxl</dc:creator>
  <dc:description/>
  <dc:language>en-US</dc:language>
  <cp:lastModifiedBy/>
  <dcterms:modified xsi:type="dcterms:W3CDTF">2026-10-05T12:24:23Z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